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ncesingh/Documents/"/>
    </mc:Choice>
  </mc:AlternateContent>
  <xr:revisionPtr revIDLastSave="0" documentId="13_ncr:1_{7B7DA78A-293B-934F-A49D-9D0F0115608A}" xr6:coauthVersionLast="46" xr6:coauthVersionMax="46" xr10:uidLastSave="{00000000-0000-0000-0000-000000000000}"/>
  <bookViews>
    <workbookView xWindow="0" yWindow="0" windowWidth="28800" windowHeight="18000" activeTab="2" xr2:uid="{084552AB-3A0D-4A4C-89D2-6D7961F248DF}"/>
  </bookViews>
  <sheets>
    <sheet name="NIFTY OC" sheetId="1" r:id="rId1"/>
    <sheet name="BN OC " sheetId="2" r:id="rId2"/>
    <sheet name="GRAPH " sheetId="3" r:id="rId3"/>
    <sheet name="DATA " sheetId="4" r:id="rId4"/>
  </sheets>
  <definedNames>
    <definedName name="bnhh" localSheetId="1">'BN OC '!$A$1:$W$142</definedName>
    <definedName name="nif" localSheetId="0">'NIFTY OC'!$A$1:$W$115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4" l="1"/>
  <c r="I3" i="4"/>
  <c r="C4" i="4"/>
  <c r="C3" i="4"/>
  <c r="I5" i="4" l="1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529CB6-1F7F-2645-A463-C150B9CC1156}" name="Connection" type="4" refreshedVersion="6" background="1" saveData="1">
    <webPr consecutive="1" xl2000="1" url="https://www1.nseindia.com/live_market/dynaContent/live_watch/option_chain/optionKeys.jsp?segmentLink=17&amp;instrument=OPTIDX&amp;symbol=NIFTY&amp;date=24DEC2020" htmlTables="1" htmlFormat="all"/>
  </connection>
  <connection id="2" xr16:uid="{B14EC7FF-2FDB-2C41-9D8B-18F06469EBD9}" name="Connection1" type="4" refreshedVersion="6" background="1" saveData="1">
    <webPr consecutive="1" xl2000="1" url="https://www1.nseindia.com/live_market/dynaContent/live_watch/option_chain/optionKeys.jsp?segmentLink=17&amp;instrument=OPTIDX&amp;symbol=BANKNIFTY&amp;date=24DEC2020" htmlTables="1" htmlFormat="all"/>
  </connection>
</connections>
</file>

<file path=xl/sharedStrings.xml><?xml version="1.0" encoding="utf-8"?>
<sst xmlns="http://schemas.openxmlformats.org/spreadsheetml/2006/main" count="1975" uniqueCount="33">
  <si>
    <t>Option Chain (Equity Derivatives)</t>
  </si>
  <si>
    <t>CALLS</t>
  </si>
  <si>
    <t>PUTS</t>
  </si>
  <si>
    <t>Chart</t>
  </si>
  <si>
    <t>OI</t>
  </si>
  <si>
    <t>Chng in OI</t>
  </si>
  <si>
    <t>Volume</t>
  </si>
  <si>
    <t>IV</t>
  </si>
  <si>
    <t>LTP</t>
  </si>
  <si>
    <t>Net Chng</t>
  </si>
  <si>
    <t>Bid</t>
  </si>
  <si>
    <t>Qty</t>
  </si>
  <si>
    <t>Price</t>
  </si>
  <si>
    <t>Ask</t>
  </si>
  <si>
    <t>Strike Price</t>
  </si>
  <si>
    <t>Graph</t>
  </si>
  <si>
    <t>-</t>
  </si>
  <si>
    <t>Total</t>
  </si>
  <si>
    <t>Top</t>
  </si>
  <si>
    <t xml:space="preserve">NIFTY </t>
  </si>
  <si>
    <t xml:space="preserve">BANKNIFTY </t>
  </si>
  <si>
    <t xml:space="preserve">CALL </t>
  </si>
  <si>
    <t>CALL</t>
  </si>
  <si>
    <t xml:space="preserve">PUT </t>
  </si>
  <si>
    <t>PUT</t>
  </si>
  <si>
    <t xml:space="preserve">DIFFERENCE </t>
  </si>
  <si>
    <t>DIFFERENCE</t>
  </si>
  <si>
    <t xml:space="preserve">TIME </t>
  </si>
  <si>
    <t xml:space="preserve">TIIME </t>
  </si>
  <si>
    <t>13300 - 14000</t>
  </si>
  <si>
    <t>29700 - 30700</t>
  </si>
  <si>
    <r>
      <t xml:space="preserve">Underlying Index: </t>
    </r>
    <r>
      <rPr>
        <b/>
        <sz val="12"/>
        <color theme="1"/>
        <rFont val="Calibri"/>
        <family val="2"/>
        <scheme val="minor"/>
      </rPr>
      <t>NIFTY 13682.10</t>
    </r>
    <r>
      <rPr>
        <sz val="12"/>
        <color theme="1"/>
        <rFont val="Calibri"/>
        <family val="2"/>
        <scheme val="minor"/>
      </rPr>
      <t xml:space="preserve">  As on Dec 24, 2020 12:17:24 IST </t>
    </r>
  </si>
  <si>
    <r>
      <t xml:space="preserve">Underlying Index: </t>
    </r>
    <r>
      <rPr>
        <b/>
        <sz val="12"/>
        <color theme="1"/>
        <rFont val="Calibri"/>
        <family val="2"/>
        <scheme val="minor"/>
      </rPr>
      <t>BANKNIFTY 30324.45</t>
    </r>
    <r>
      <rPr>
        <sz val="12"/>
        <color theme="1"/>
        <rFont val="Calibri"/>
        <family val="2"/>
        <scheme val="minor"/>
      </rPr>
      <t xml:space="preserve">  As on Dec 24, 2020 12:16:54 IST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</si>
</sst>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rgb="FFEF620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8000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2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vertical="center" wrapText="1"/>
    </xf>
    <xf numFmtId="0" fontId="9" fillId="0" borderId="0" xfId="1" applyAlignment="1">
      <alignment vertical="center" wrapText="1"/>
    </xf>
    <xf numFmtId="0" fontId="6" fillId="0" borderId="0" xfId="0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4" fontId="3" fillId="0" borderId="0" xfId="0" applyNumberFormat="1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4" fontId="9" fillId="0" borderId="0" xfId="1" applyNumberFormat="1" applyAlignment="1">
      <alignment vertical="center" wrapText="1"/>
    </xf>
    <xf numFmtId="4" fontId="7" fillId="0" borderId="0" xfId="0" applyNumberFormat="1" applyFont="1" applyAlignment="1">
      <alignment vertical="center" wrapText="1"/>
    </xf>
    <xf numFmtId="0" fontId="5" fillId="0" borderId="0" xfId="0" applyFont="1" applyAlignment="1">
      <alignment vertical="center" wrapText="1"/>
    </xf>
    <xf numFmtId="3" fontId="5" fillId="0" borderId="0" xfId="0" applyNumberFormat="1" applyFont="1" applyAlignment="1">
      <alignment vertical="center" wrapText="1"/>
    </xf>
    <xf numFmtId="0" fontId="9" fillId="0" borderId="0" xfId="1" applyAlignment="1">
      <alignment horizontal="center" vertical="center" wrapText="1"/>
    </xf>
    <xf numFmtId="164" fontId="10" fillId="2" borderId="0" xfId="0" applyNumberFormat="1" applyFont="1" applyFill="1"/>
    <xf numFmtId="0" fontId="10" fillId="2" borderId="0" xfId="0" applyFont="1" applyFill="1"/>
    <xf numFmtId="0" fontId="10" fillId="0" borderId="0" xfId="0" applyFont="1"/>
    <xf numFmtId="164" fontId="10" fillId="3" borderId="0" xfId="0" applyNumberFormat="1" applyFont="1" applyFill="1"/>
    <xf numFmtId="0" fontId="10" fillId="3" borderId="0" xfId="0" applyFont="1" applyFill="1"/>
    <xf numFmtId="0" fontId="10" fillId="2" borderId="1" xfId="0" applyFont="1" applyFill="1" applyBorder="1"/>
    <xf numFmtId="3" fontId="10" fillId="2" borderId="1" xfId="0" applyNumberFormat="1" applyFont="1" applyFill="1" applyBorder="1"/>
    <xf numFmtId="0" fontId="10" fillId="3" borderId="1" xfId="0" applyFont="1" applyFill="1" applyBorder="1"/>
    <xf numFmtId="3" fontId="10" fillId="3" borderId="1" xfId="0" applyNumberFormat="1" applyFont="1" applyFill="1" applyBorder="1"/>
    <xf numFmtId="164" fontId="11" fillId="2" borderId="0" xfId="0" applyNumberFormat="1" applyFont="1" applyFill="1"/>
    <xf numFmtId="0" fontId="11" fillId="2" borderId="0" xfId="0" applyFont="1" applyFill="1"/>
    <xf numFmtId="0" fontId="11" fillId="0" borderId="0" xfId="0" applyFont="1"/>
    <xf numFmtId="164" fontId="11" fillId="3" borderId="0" xfId="0" applyNumberFormat="1" applyFont="1" applyFill="1"/>
    <xf numFmtId="0" fontId="12" fillId="3" borderId="1" xfId="0" applyFont="1" applyFill="1" applyBorder="1"/>
    <xf numFmtId="3" fontId="13" fillId="3" borderId="1" xfId="0" applyNumberFormat="1" applyFont="1" applyFill="1" applyBorder="1"/>
    <xf numFmtId="0" fontId="11" fillId="3" borderId="0" xfId="0" applyFont="1" applyFill="1"/>
    <xf numFmtId="0" fontId="10" fillId="2" borderId="2" xfId="0" applyFont="1" applyFill="1" applyBorder="1"/>
    <xf numFmtId="3" fontId="10" fillId="2" borderId="2" xfId="0" applyNumberFormat="1" applyFont="1" applyFill="1" applyBorder="1"/>
    <xf numFmtId="0" fontId="12" fillId="3" borderId="2" xfId="0" applyFont="1" applyFill="1" applyBorder="1"/>
    <xf numFmtId="3" fontId="13" fillId="3" borderId="2" xfId="0" applyNumberFormat="1" applyFont="1" applyFill="1" applyBorder="1"/>
    <xf numFmtId="164" fontId="11" fillId="4" borderId="2" xfId="0" applyNumberFormat="1" applyFont="1" applyFill="1" applyBorder="1"/>
    <xf numFmtId="0" fontId="11" fillId="4" borderId="2" xfId="0" applyFont="1" applyFill="1" applyBorder="1"/>
    <xf numFmtId="164" fontId="11" fillId="5" borderId="2" xfId="0" applyNumberFormat="1" applyFont="1" applyFill="1" applyBorder="1"/>
    <xf numFmtId="0" fontId="11" fillId="5" borderId="2" xfId="0" applyFont="1" applyFill="1" applyBorder="1"/>
    <xf numFmtId="164" fontId="11" fillId="0" borderId="1" xfId="0" applyNumberFormat="1" applyFont="1" applyBorder="1"/>
    <xf numFmtId="0" fontId="11" fillId="0" borderId="1" xfId="0" applyFont="1" applyBorder="1"/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" fontId="8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0" fontId="1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NIFTY OI CHANGE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CALL 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'NIFTY OC'!$L$67:$L$97</c:f>
              <c:numCache>
                <c:formatCode>General</c:formatCode>
                <c:ptCount val="31"/>
                <c:pt idx="0">
                  <c:v>13000</c:v>
                </c:pt>
                <c:pt idx="1">
                  <c:v>13050</c:v>
                </c:pt>
                <c:pt idx="2">
                  <c:v>13100</c:v>
                </c:pt>
                <c:pt idx="3">
                  <c:v>13150</c:v>
                </c:pt>
                <c:pt idx="4">
                  <c:v>13200</c:v>
                </c:pt>
                <c:pt idx="5">
                  <c:v>13250</c:v>
                </c:pt>
                <c:pt idx="6">
                  <c:v>13300</c:v>
                </c:pt>
                <c:pt idx="7">
                  <c:v>13350</c:v>
                </c:pt>
                <c:pt idx="8">
                  <c:v>13400</c:v>
                </c:pt>
                <c:pt idx="9">
                  <c:v>13450</c:v>
                </c:pt>
                <c:pt idx="10">
                  <c:v>13500</c:v>
                </c:pt>
                <c:pt idx="11">
                  <c:v>13550</c:v>
                </c:pt>
                <c:pt idx="12">
                  <c:v>13600</c:v>
                </c:pt>
                <c:pt idx="13">
                  <c:v>13650</c:v>
                </c:pt>
                <c:pt idx="14">
                  <c:v>13700</c:v>
                </c:pt>
                <c:pt idx="15">
                  <c:v>13750</c:v>
                </c:pt>
                <c:pt idx="16">
                  <c:v>13800</c:v>
                </c:pt>
                <c:pt idx="17">
                  <c:v>13850</c:v>
                </c:pt>
                <c:pt idx="18">
                  <c:v>13900</c:v>
                </c:pt>
                <c:pt idx="19">
                  <c:v>13950</c:v>
                </c:pt>
                <c:pt idx="20">
                  <c:v>14000</c:v>
                </c:pt>
                <c:pt idx="21">
                  <c:v>14050</c:v>
                </c:pt>
                <c:pt idx="22">
                  <c:v>14100</c:v>
                </c:pt>
                <c:pt idx="23">
                  <c:v>14150</c:v>
                </c:pt>
                <c:pt idx="24">
                  <c:v>14200</c:v>
                </c:pt>
                <c:pt idx="25">
                  <c:v>14250</c:v>
                </c:pt>
                <c:pt idx="26">
                  <c:v>14300</c:v>
                </c:pt>
                <c:pt idx="27">
                  <c:v>14350</c:v>
                </c:pt>
                <c:pt idx="28">
                  <c:v>14400</c:v>
                </c:pt>
                <c:pt idx="29">
                  <c:v>14450</c:v>
                </c:pt>
                <c:pt idx="30">
                  <c:v>14500</c:v>
                </c:pt>
              </c:numCache>
            </c:numRef>
          </c:cat>
          <c:val>
            <c:numRef>
              <c:f>'NIFTY OC'!$C$67:$C$97</c:f>
              <c:numCache>
                <c:formatCode>#,##0</c:formatCode>
                <c:ptCount val="31"/>
                <c:pt idx="0">
                  <c:v>-16875</c:v>
                </c:pt>
                <c:pt idx="1">
                  <c:v>-6450</c:v>
                </c:pt>
                <c:pt idx="2">
                  <c:v>-5625</c:v>
                </c:pt>
                <c:pt idx="3">
                  <c:v>-5250</c:v>
                </c:pt>
                <c:pt idx="4">
                  <c:v>-33000</c:v>
                </c:pt>
                <c:pt idx="5">
                  <c:v>-4875</c:v>
                </c:pt>
                <c:pt idx="6">
                  <c:v>-149325</c:v>
                </c:pt>
                <c:pt idx="7">
                  <c:v>-10800</c:v>
                </c:pt>
                <c:pt idx="8">
                  <c:v>-97425</c:v>
                </c:pt>
                <c:pt idx="9">
                  <c:v>-30900</c:v>
                </c:pt>
                <c:pt idx="10">
                  <c:v>-167025</c:v>
                </c:pt>
                <c:pt idx="11">
                  <c:v>-150675</c:v>
                </c:pt>
                <c:pt idx="12">
                  <c:v>-409050</c:v>
                </c:pt>
                <c:pt idx="13">
                  <c:v>347550</c:v>
                </c:pt>
                <c:pt idx="14">
                  <c:v>2681400</c:v>
                </c:pt>
                <c:pt idx="15">
                  <c:v>3236775</c:v>
                </c:pt>
                <c:pt idx="16">
                  <c:v>2771400</c:v>
                </c:pt>
                <c:pt idx="17">
                  <c:v>1559100</c:v>
                </c:pt>
                <c:pt idx="18">
                  <c:v>922800</c:v>
                </c:pt>
                <c:pt idx="19">
                  <c:v>279000</c:v>
                </c:pt>
                <c:pt idx="20">
                  <c:v>1050150</c:v>
                </c:pt>
                <c:pt idx="21">
                  <c:v>52050</c:v>
                </c:pt>
                <c:pt idx="22">
                  <c:v>37125</c:v>
                </c:pt>
                <c:pt idx="23">
                  <c:v>29325</c:v>
                </c:pt>
                <c:pt idx="24">
                  <c:v>-24900</c:v>
                </c:pt>
                <c:pt idx="25" formatCode="General">
                  <c:v>825</c:v>
                </c:pt>
                <c:pt idx="26">
                  <c:v>49800</c:v>
                </c:pt>
                <c:pt idx="27">
                  <c:v>1650</c:v>
                </c:pt>
                <c:pt idx="28">
                  <c:v>-86175</c:v>
                </c:pt>
                <c:pt idx="29">
                  <c:v>3150</c:v>
                </c:pt>
                <c:pt idx="30">
                  <c:v>71625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C7-444B-BE69-064A2B002EF1}"/>
            </c:ext>
          </c:extLst>
        </c:ser>
        <c:ser>
          <c:idx val="1"/>
          <c:order val="1"/>
          <c:tx>
            <c:v>PUT 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'NIFTY OC'!$L$67:$L$97</c:f>
              <c:numCache>
                <c:formatCode>General</c:formatCode>
                <c:ptCount val="31"/>
                <c:pt idx="0">
                  <c:v>13000</c:v>
                </c:pt>
                <c:pt idx="1">
                  <c:v>13050</c:v>
                </c:pt>
                <c:pt idx="2">
                  <c:v>13100</c:v>
                </c:pt>
                <c:pt idx="3">
                  <c:v>13150</c:v>
                </c:pt>
                <c:pt idx="4">
                  <c:v>13200</c:v>
                </c:pt>
                <c:pt idx="5">
                  <c:v>13250</c:v>
                </c:pt>
                <c:pt idx="6">
                  <c:v>13300</c:v>
                </c:pt>
                <c:pt idx="7">
                  <c:v>13350</c:v>
                </c:pt>
                <c:pt idx="8">
                  <c:v>13400</c:v>
                </c:pt>
                <c:pt idx="9">
                  <c:v>13450</c:v>
                </c:pt>
                <c:pt idx="10">
                  <c:v>13500</c:v>
                </c:pt>
                <c:pt idx="11">
                  <c:v>13550</c:v>
                </c:pt>
                <c:pt idx="12">
                  <c:v>13600</c:v>
                </c:pt>
                <c:pt idx="13">
                  <c:v>13650</c:v>
                </c:pt>
                <c:pt idx="14">
                  <c:v>13700</c:v>
                </c:pt>
                <c:pt idx="15">
                  <c:v>13750</c:v>
                </c:pt>
                <c:pt idx="16">
                  <c:v>13800</c:v>
                </c:pt>
                <c:pt idx="17">
                  <c:v>13850</c:v>
                </c:pt>
                <c:pt idx="18">
                  <c:v>13900</c:v>
                </c:pt>
                <c:pt idx="19">
                  <c:v>13950</c:v>
                </c:pt>
                <c:pt idx="20">
                  <c:v>14000</c:v>
                </c:pt>
                <c:pt idx="21">
                  <c:v>14050</c:v>
                </c:pt>
                <c:pt idx="22">
                  <c:v>14100</c:v>
                </c:pt>
                <c:pt idx="23">
                  <c:v>14150</c:v>
                </c:pt>
                <c:pt idx="24">
                  <c:v>14200</c:v>
                </c:pt>
                <c:pt idx="25">
                  <c:v>14250</c:v>
                </c:pt>
                <c:pt idx="26">
                  <c:v>14300</c:v>
                </c:pt>
                <c:pt idx="27">
                  <c:v>14350</c:v>
                </c:pt>
                <c:pt idx="28">
                  <c:v>14400</c:v>
                </c:pt>
                <c:pt idx="29">
                  <c:v>14450</c:v>
                </c:pt>
                <c:pt idx="30">
                  <c:v>14500</c:v>
                </c:pt>
              </c:numCache>
            </c:numRef>
          </c:cat>
          <c:val>
            <c:numRef>
              <c:f>'NIFTY OC'!$U$67:$U$97</c:f>
              <c:numCache>
                <c:formatCode>#,##0</c:formatCode>
                <c:ptCount val="31"/>
                <c:pt idx="0">
                  <c:v>564675</c:v>
                </c:pt>
                <c:pt idx="1">
                  <c:v>64350</c:v>
                </c:pt>
                <c:pt idx="2">
                  <c:v>42675</c:v>
                </c:pt>
                <c:pt idx="3">
                  <c:v>-113775</c:v>
                </c:pt>
                <c:pt idx="4">
                  <c:v>225375</c:v>
                </c:pt>
                <c:pt idx="5">
                  <c:v>-18975</c:v>
                </c:pt>
                <c:pt idx="6">
                  <c:v>525675</c:v>
                </c:pt>
                <c:pt idx="7">
                  <c:v>-197025</c:v>
                </c:pt>
                <c:pt idx="8">
                  <c:v>734775</c:v>
                </c:pt>
                <c:pt idx="9">
                  <c:v>350850</c:v>
                </c:pt>
                <c:pt idx="10">
                  <c:v>1798200</c:v>
                </c:pt>
                <c:pt idx="11">
                  <c:v>1396275</c:v>
                </c:pt>
                <c:pt idx="12">
                  <c:v>3515175</c:v>
                </c:pt>
                <c:pt idx="13">
                  <c:v>2269950</c:v>
                </c:pt>
                <c:pt idx="14">
                  <c:v>2216175</c:v>
                </c:pt>
                <c:pt idx="15">
                  <c:v>212250</c:v>
                </c:pt>
                <c:pt idx="16">
                  <c:v>177975</c:v>
                </c:pt>
                <c:pt idx="17">
                  <c:v>3075</c:v>
                </c:pt>
                <c:pt idx="18">
                  <c:v>-8550</c:v>
                </c:pt>
                <c:pt idx="19">
                  <c:v>3225</c:v>
                </c:pt>
                <c:pt idx="20">
                  <c:v>-5025</c:v>
                </c:pt>
                <c:pt idx="21" formatCode="General">
                  <c:v>0</c:v>
                </c:pt>
                <c:pt idx="22" formatCode="General">
                  <c:v>-600</c:v>
                </c:pt>
                <c:pt idx="23" formatCode="General">
                  <c:v>0</c:v>
                </c:pt>
                <c:pt idx="24" formatCode="General">
                  <c:v>300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75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7-444B-BE69-064A2B002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0119935"/>
        <c:axId val="528464239"/>
      </c:barChart>
      <c:catAx>
        <c:axId val="56011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464239"/>
        <c:crosses val="autoZero"/>
        <c:auto val="1"/>
        <c:lblAlgn val="ctr"/>
        <c:lblOffset val="100"/>
        <c:noMultiLvlLbl val="0"/>
      </c:catAx>
      <c:valAx>
        <c:axId val="52846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1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OI</a:t>
            </a:r>
            <a:r>
              <a:rPr lang="en-GB" baseline="0"/>
              <a:t> CHANGE BANK NIFTY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CALL 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'BN OC '!$L$86:$L$111</c:f>
              <c:numCache>
                <c:formatCode>General</c:formatCode>
                <c:ptCount val="26"/>
                <c:pt idx="0">
                  <c:v>28500</c:v>
                </c:pt>
                <c:pt idx="1">
                  <c:v>28600</c:v>
                </c:pt>
                <c:pt idx="2">
                  <c:v>28700</c:v>
                </c:pt>
                <c:pt idx="3">
                  <c:v>28800</c:v>
                </c:pt>
                <c:pt idx="4">
                  <c:v>28900</c:v>
                </c:pt>
                <c:pt idx="5">
                  <c:v>29000</c:v>
                </c:pt>
                <c:pt idx="6">
                  <c:v>29100</c:v>
                </c:pt>
                <c:pt idx="7">
                  <c:v>29200</c:v>
                </c:pt>
                <c:pt idx="8">
                  <c:v>29300</c:v>
                </c:pt>
                <c:pt idx="9">
                  <c:v>29400</c:v>
                </c:pt>
                <c:pt idx="10">
                  <c:v>29500</c:v>
                </c:pt>
                <c:pt idx="11">
                  <c:v>29600</c:v>
                </c:pt>
                <c:pt idx="12">
                  <c:v>29700</c:v>
                </c:pt>
                <c:pt idx="13">
                  <c:v>29800</c:v>
                </c:pt>
                <c:pt idx="14">
                  <c:v>29900</c:v>
                </c:pt>
                <c:pt idx="15">
                  <c:v>30000</c:v>
                </c:pt>
                <c:pt idx="16">
                  <c:v>30100</c:v>
                </c:pt>
                <c:pt idx="17">
                  <c:v>30200</c:v>
                </c:pt>
                <c:pt idx="18">
                  <c:v>30300</c:v>
                </c:pt>
                <c:pt idx="19">
                  <c:v>30400</c:v>
                </c:pt>
                <c:pt idx="20">
                  <c:v>30500</c:v>
                </c:pt>
                <c:pt idx="21">
                  <c:v>30600</c:v>
                </c:pt>
                <c:pt idx="22">
                  <c:v>30700</c:v>
                </c:pt>
                <c:pt idx="23">
                  <c:v>30800</c:v>
                </c:pt>
                <c:pt idx="24">
                  <c:v>30900</c:v>
                </c:pt>
                <c:pt idx="25">
                  <c:v>31000</c:v>
                </c:pt>
              </c:numCache>
            </c:numRef>
          </c:cat>
          <c:val>
            <c:numRef>
              <c:f>'BN OC '!$C$86:$C$111</c:f>
              <c:numCache>
                <c:formatCode>General</c:formatCode>
                <c:ptCount val="26"/>
                <c:pt idx="0">
                  <c:v>-900</c:v>
                </c:pt>
                <c:pt idx="1">
                  <c:v>-250</c:v>
                </c:pt>
                <c:pt idx="2">
                  <c:v>50</c:v>
                </c:pt>
                <c:pt idx="3" formatCode="#,##0">
                  <c:v>-1025</c:v>
                </c:pt>
                <c:pt idx="4">
                  <c:v>-450</c:v>
                </c:pt>
                <c:pt idx="5" formatCode="#,##0">
                  <c:v>-12325</c:v>
                </c:pt>
                <c:pt idx="6" formatCode="#,##0">
                  <c:v>-2200</c:v>
                </c:pt>
                <c:pt idx="7" formatCode="#,##0">
                  <c:v>-6225</c:v>
                </c:pt>
                <c:pt idx="8" formatCode="#,##0">
                  <c:v>-6350</c:v>
                </c:pt>
                <c:pt idx="9" formatCode="#,##0">
                  <c:v>-9025</c:v>
                </c:pt>
                <c:pt idx="10" formatCode="#,##0">
                  <c:v>-118675</c:v>
                </c:pt>
                <c:pt idx="11" formatCode="#,##0">
                  <c:v>-37625</c:v>
                </c:pt>
                <c:pt idx="12" formatCode="#,##0">
                  <c:v>-107850</c:v>
                </c:pt>
                <c:pt idx="13" formatCode="#,##0">
                  <c:v>-185025</c:v>
                </c:pt>
                <c:pt idx="14" formatCode="#,##0">
                  <c:v>-173675</c:v>
                </c:pt>
                <c:pt idx="15" formatCode="#,##0">
                  <c:v>-387475</c:v>
                </c:pt>
                <c:pt idx="16" formatCode="#,##0">
                  <c:v>-105575</c:v>
                </c:pt>
                <c:pt idx="17" formatCode="#,##0">
                  <c:v>45350</c:v>
                </c:pt>
                <c:pt idx="18" formatCode="#,##0">
                  <c:v>453025</c:v>
                </c:pt>
                <c:pt idx="19" formatCode="#,##0">
                  <c:v>734450</c:v>
                </c:pt>
                <c:pt idx="20" formatCode="#,##0">
                  <c:v>1595325</c:v>
                </c:pt>
                <c:pt idx="21" formatCode="#,##0">
                  <c:v>891275</c:v>
                </c:pt>
                <c:pt idx="22" formatCode="#,##0">
                  <c:v>653350</c:v>
                </c:pt>
                <c:pt idx="23" formatCode="#,##0">
                  <c:v>609325</c:v>
                </c:pt>
                <c:pt idx="24" formatCode="#,##0">
                  <c:v>304525</c:v>
                </c:pt>
                <c:pt idx="25" formatCode="#,##0">
                  <c:v>409175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1-154E-8C54-2BD9FEF767C0}"/>
            </c:ext>
          </c:extLst>
        </c:ser>
        <c:ser>
          <c:idx val="1"/>
          <c:order val="1"/>
          <c:tx>
            <c:v>PUT 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'BN OC '!$L$86:$L$111</c:f>
              <c:numCache>
                <c:formatCode>General</c:formatCode>
                <c:ptCount val="26"/>
                <c:pt idx="0">
                  <c:v>28500</c:v>
                </c:pt>
                <c:pt idx="1">
                  <c:v>28600</c:v>
                </c:pt>
                <c:pt idx="2">
                  <c:v>28700</c:v>
                </c:pt>
                <c:pt idx="3">
                  <c:v>28800</c:v>
                </c:pt>
                <c:pt idx="4">
                  <c:v>28900</c:v>
                </c:pt>
                <c:pt idx="5">
                  <c:v>29000</c:v>
                </c:pt>
                <c:pt idx="6">
                  <c:v>29100</c:v>
                </c:pt>
                <c:pt idx="7">
                  <c:v>29200</c:v>
                </c:pt>
                <c:pt idx="8">
                  <c:v>29300</c:v>
                </c:pt>
                <c:pt idx="9">
                  <c:v>29400</c:v>
                </c:pt>
                <c:pt idx="10">
                  <c:v>29500</c:v>
                </c:pt>
                <c:pt idx="11">
                  <c:v>29600</c:v>
                </c:pt>
                <c:pt idx="12">
                  <c:v>29700</c:v>
                </c:pt>
                <c:pt idx="13">
                  <c:v>29800</c:v>
                </c:pt>
                <c:pt idx="14">
                  <c:v>29900</c:v>
                </c:pt>
                <c:pt idx="15">
                  <c:v>30000</c:v>
                </c:pt>
                <c:pt idx="16">
                  <c:v>30100</c:v>
                </c:pt>
                <c:pt idx="17">
                  <c:v>30200</c:v>
                </c:pt>
                <c:pt idx="18">
                  <c:v>30300</c:v>
                </c:pt>
                <c:pt idx="19">
                  <c:v>30400</c:v>
                </c:pt>
                <c:pt idx="20">
                  <c:v>30500</c:v>
                </c:pt>
                <c:pt idx="21">
                  <c:v>30600</c:v>
                </c:pt>
                <c:pt idx="22">
                  <c:v>30700</c:v>
                </c:pt>
                <c:pt idx="23">
                  <c:v>30800</c:v>
                </c:pt>
                <c:pt idx="24">
                  <c:v>30900</c:v>
                </c:pt>
                <c:pt idx="25">
                  <c:v>31000</c:v>
                </c:pt>
              </c:numCache>
            </c:numRef>
          </c:cat>
          <c:val>
            <c:numRef>
              <c:f>'BN OC '!$U$86:$U$111</c:f>
              <c:numCache>
                <c:formatCode>#,##0</c:formatCode>
                <c:ptCount val="26"/>
                <c:pt idx="0">
                  <c:v>383475</c:v>
                </c:pt>
                <c:pt idx="1">
                  <c:v>41500</c:v>
                </c:pt>
                <c:pt idx="2" formatCode="General">
                  <c:v>-525</c:v>
                </c:pt>
                <c:pt idx="3">
                  <c:v>-44675</c:v>
                </c:pt>
                <c:pt idx="4">
                  <c:v>-29600</c:v>
                </c:pt>
                <c:pt idx="5">
                  <c:v>296475</c:v>
                </c:pt>
                <c:pt idx="6">
                  <c:v>-31250</c:v>
                </c:pt>
                <c:pt idx="7">
                  <c:v>-162625</c:v>
                </c:pt>
                <c:pt idx="8">
                  <c:v>58650</c:v>
                </c:pt>
                <c:pt idx="9">
                  <c:v>65075</c:v>
                </c:pt>
                <c:pt idx="10">
                  <c:v>210850</c:v>
                </c:pt>
                <c:pt idx="11">
                  <c:v>301600</c:v>
                </c:pt>
                <c:pt idx="12">
                  <c:v>274725</c:v>
                </c:pt>
                <c:pt idx="13">
                  <c:v>571725</c:v>
                </c:pt>
                <c:pt idx="14">
                  <c:v>996200</c:v>
                </c:pt>
                <c:pt idx="15">
                  <c:v>2935900</c:v>
                </c:pt>
                <c:pt idx="16">
                  <c:v>1118000</c:v>
                </c:pt>
                <c:pt idx="17">
                  <c:v>1548075</c:v>
                </c:pt>
                <c:pt idx="18">
                  <c:v>1038825</c:v>
                </c:pt>
                <c:pt idx="19">
                  <c:v>414175</c:v>
                </c:pt>
                <c:pt idx="20">
                  <c:v>185125</c:v>
                </c:pt>
                <c:pt idx="21">
                  <c:v>45350</c:v>
                </c:pt>
                <c:pt idx="22">
                  <c:v>29175</c:v>
                </c:pt>
                <c:pt idx="23">
                  <c:v>6175</c:v>
                </c:pt>
                <c:pt idx="24" formatCode="General">
                  <c:v>-650</c:v>
                </c:pt>
                <c:pt idx="25">
                  <c:v>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01-154E-8C54-2BD9FEF767C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8298863"/>
        <c:axId val="568300511"/>
      </c:barChart>
      <c:catAx>
        <c:axId val="568298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300511"/>
        <c:crosses val="autoZero"/>
        <c:auto val="1"/>
        <c:lblAlgn val="ctr"/>
        <c:lblOffset val="100"/>
        <c:noMultiLvlLbl val="0"/>
      </c:catAx>
      <c:valAx>
        <c:axId val="56830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29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25400</xdr:rowOff>
    </xdr:from>
    <xdr:to>
      <xdr:col>32</xdr:col>
      <xdr:colOff>800100</xdr:colOff>
      <xdr:row>20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7D88A-CE25-2D41-88E5-4B146280D0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165100</xdr:rowOff>
    </xdr:from>
    <xdr:to>
      <xdr:col>33</xdr:col>
      <xdr:colOff>50800</xdr:colOff>
      <xdr:row>40</xdr:row>
      <xdr:rowOff>50800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6EE6F6AB-B0CA-DE44-B23B-7A1B9064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if" preserveFormatting="0" connectionId="1" xr16:uid="{3CD87490-F0C7-1E48-9AF3-52AB181BD084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nhh" preserveFormatting="0" connectionId="2" xr16:uid="{0BAA93C5-0A61-0F40-91CD-72AF18AF065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/live_market/dynaContent/live_watch/option_chain/optionDates.jsp?symbol=NIFTY&amp;instrument=OPTIDX&amp;strike=11600.00" TargetMode="External"/><Relationship Id="rId299" Type="http://schemas.openxmlformats.org/officeDocument/2006/relationships/hyperlink" Target="javascript:chartPopup('NIFTY',%20'OPTIDX',%20'24DEC2020',%20'13550.00','PE','NIFTY%2050');" TargetMode="External"/><Relationship Id="rId21" Type="http://schemas.openxmlformats.org/officeDocument/2006/relationships/hyperlink" Target="/live_market/dynaContent/live_watch/get_quote/GetQuoteFO.jsp?underlying=NIFTY&amp;instrument=OPTIDX&amp;strike=10350.00&amp;type=PE&amp;expiry=24DEC2020" TargetMode="External"/><Relationship Id="rId63" Type="http://schemas.openxmlformats.org/officeDocument/2006/relationships/hyperlink" Target="javascript:chartPopup('NIFTY',%20'OPTIDX',%20'24DEC2020',%20'10900.00','CE','NIFTY%2050');" TargetMode="External"/><Relationship Id="rId159" Type="http://schemas.openxmlformats.org/officeDocument/2006/relationships/hyperlink" Target="javascript:chartPopup('NIFTY',%20'OPTIDX',%20'24DEC2020',%20'12100.00','PE','NIFTY%2050');" TargetMode="External"/><Relationship Id="rId324" Type="http://schemas.openxmlformats.org/officeDocument/2006/relationships/hyperlink" Target="javascript:chartPopup('NIFTY',%20'OPTIDX',%20'24DEC2020',%20'13800.00','PE','NIFTY%2050');" TargetMode="External"/><Relationship Id="rId366" Type="http://schemas.openxmlformats.org/officeDocument/2006/relationships/hyperlink" Target="/live_market/dynaContent/live_watch/option_chain/optionDates.jsp?symbol=NIFTY&amp;instrument=OPTIDX&amp;strike=14250.00" TargetMode="External"/><Relationship Id="rId170" Type="http://schemas.openxmlformats.org/officeDocument/2006/relationships/hyperlink" Target="/live_market/dynaContent/live_watch/option_chain/optionDates.jsp?symbol=NIFTY&amp;instrument=OPTIDX&amp;strike=12250.00" TargetMode="External"/><Relationship Id="rId226" Type="http://schemas.openxmlformats.org/officeDocument/2006/relationships/hyperlink" Target="/live_market/dynaContent/live_watch/get_quote/GetQuoteFO.jsp?underlying=NIFTY&amp;instrument=OPTIDX&amp;strike=12850.00&amp;type=CE&amp;expiry=24DEC2020" TargetMode="External"/><Relationship Id="rId433" Type="http://schemas.openxmlformats.org/officeDocument/2006/relationships/hyperlink" Target="/live_market/dynaContent/live_watch/option_chain/optionDates.jsp?symbol=NIFTY&amp;instrument=OPTIDX&amp;strike=15050.00" TargetMode="External"/><Relationship Id="rId268" Type="http://schemas.openxmlformats.org/officeDocument/2006/relationships/hyperlink" Target="/live_market/dynaContent/live_watch/get_quote/GetQuoteFO.jsp?underlying=NIFTY&amp;instrument=OPTIDX&amp;strike=13250.00&amp;type=PE&amp;expiry=24DEC2020" TargetMode="External"/><Relationship Id="rId32" Type="http://schemas.openxmlformats.org/officeDocument/2006/relationships/hyperlink" Target="/live_market/dynaContent/live_watch/option_chain/optionDates.jsp?symbol=NIFTY&amp;instrument=OPTIDX&amp;strike=10500.00" TargetMode="External"/><Relationship Id="rId74" Type="http://schemas.openxmlformats.org/officeDocument/2006/relationships/hyperlink" Target="javascript:chartPopup('NIFTY',%20'OPTIDX',%20'24DEC2020',%20'11050.00','CE','NIFTY%2050');" TargetMode="External"/><Relationship Id="rId128" Type="http://schemas.openxmlformats.org/officeDocument/2006/relationships/hyperlink" Target="javascript:chartPopup('NIFTY',%20'OPTIDX',%20'24DEC2020',%20'11750.00','CE','NIFTY%2050');" TargetMode="External"/><Relationship Id="rId335" Type="http://schemas.openxmlformats.org/officeDocument/2006/relationships/hyperlink" Target="javascript:chartPopup('NIFTY',%20'OPTIDX',%20'24DEC2020',%20'13950.00','CE','NIFTY%2050');" TargetMode="External"/><Relationship Id="rId377" Type="http://schemas.openxmlformats.org/officeDocument/2006/relationships/hyperlink" Target="javascript:chartPopup('NIFTY',%20'OPTIDX',%20'24DEC2020',%20'14400.00','CE','NIFTY%2050');" TargetMode="External"/><Relationship Id="rId5" Type="http://schemas.openxmlformats.org/officeDocument/2006/relationships/hyperlink" Target="javascript:chartPopup('NIFTY',%20'OPTIDX',%20'24DEC2020',%20'10150.00','PE','NIFTY%2050');" TargetMode="External"/><Relationship Id="rId181" Type="http://schemas.openxmlformats.org/officeDocument/2006/relationships/hyperlink" Target="javascript:chartPopup('NIFTY',%20'OPTIDX',%20'24DEC2020',%20'12350.00','PE','NIFTY%2050');" TargetMode="External"/><Relationship Id="rId237" Type="http://schemas.openxmlformats.org/officeDocument/2006/relationships/hyperlink" Target="/live_market/dynaContent/live_watch/option_chain/optionDates.jsp?symbol=NIFTY&amp;instrument=OPTIDX&amp;strike=12950.00" TargetMode="External"/><Relationship Id="rId402" Type="http://schemas.openxmlformats.org/officeDocument/2006/relationships/hyperlink" Target="javascript:chartPopup('NIFTY',%20'OPTIDX',%20'24DEC2020',%20'14650.00','PE','NIFTY%2050');" TargetMode="External"/><Relationship Id="rId279" Type="http://schemas.openxmlformats.org/officeDocument/2006/relationships/hyperlink" Target="javascript:chartPopup('NIFTY',%20'OPTIDX',%20'24DEC2020',%20'13350.00','PE','NIFTY%2050');" TargetMode="External"/><Relationship Id="rId444" Type="http://schemas.openxmlformats.org/officeDocument/2006/relationships/hyperlink" Target="/live_market/dynaContent/live_watch/get_quote/GetQuoteFO.jsp?underlying=NIFTY&amp;instrument=OPTIDX&amp;strike=15200.00&amp;type=CE&amp;expiry=24DEC2020" TargetMode="External"/><Relationship Id="rId43" Type="http://schemas.openxmlformats.org/officeDocument/2006/relationships/hyperlink" Target="javascript:chartPopup('NIFTY',%20'OPTIDX',%20'24DEC2020',%20'10650.00','CE','NIFTY%2050');" TargetMode="External"/><Relationship Id="rId139" Type="http://schemas.openxmlformats.org/officeDocument/2006/relationships/hyperlink" Target="javascript:chartPopup('NIFTY',%20'OPTIDX',%20'24DEC2020',%20'11850.00','PE','NIFTY%2050');" TargetMode="External"/><Relationship Id="rId290" Type="http://schemas.openxmlformats.org/officeDocument/2006/relationships/hyperlink" Target="javascript:chartPopup('NIFTY',%20'OPTIDX',%20'24DEC2020',%20'13500.00','CE','NIFTY%2050');" TargetMode="External"/><Relationship Id="rId304" Type="http://schemas.openxmlformats.org/officeDocument/2006/relationships/hyperlink" Target="javascript:chartPopup('NIFTY',%20'OPTIDX',%20'24DEC2020',%20'13600.00','PE','NIFTY%2050');" TargetMode="External"/><Relationship Id="rId346" Type="http://schemas.openxmlformats.org/officeDocument/2006/relationships/hyperlink" Target="/live_market/dynaContent/live_watch/get_quote/GetQuoteFO.jsp?underlying=NIFTY&amp;instrument=OPTIDX&amp;strike=14050.00&amp;type=CE&amp;expiry=24DEC2020" TargetMode="External"/><Relationship Id="rId388" Type="http://schemas.openxmlformats.org/officeDocument/2006/relationships/hyperlink" Target="/live_market/dynaContent/live_watch/option_chain/optionDates.jsp?symbol=NIFTY&amp;instrument=OPTIDX&amp;strike=14500.00" TargetMode="External"/><Relationship Id="rId85" Type="http://schemas.openxmlformats.org/officeDocument/2006/relationships/hyperlink" Target="/live_market/dynaContent/live_watch/option_chain/optionDates.jsp?symbol=NIFTY&amp;instrument=OPTIDX&amp;strike=11200.00" TargetMode="External"/><Relationship Id="rId150" Type="http://schemas.openxmlformats.org/officeDocument/2006/relationships/hyperlink" Target="/live_market/dynaContent/live_watch/get_quote/GetQuoteFO.jsp?underlying=NIFTY&amp;instrument=OPTIDX&amp;strike=12000.00&amp;type=PE&amp;expiry=24DEC2020" TargetMode="External"/><Relationship Id="rId192" Type="http://schemas.openxmlformats.org/officeDocument/2006/relationships/hyperlink" Target="javascript:chartPopup('NIFTY',%20'OPTIDX',%20'24DEC2020',%20'12500.00','CE','NIFTY%2050');" TargetMode="External"/><Relationship Id="rId206" Type="http://schemas.openxmlformats.org/officeDocument/2006/relationships/hyperlink" Target="javascript:chartPopup('NIFTY',%20'OPTIDX',%20'24DEC2020',%20'12650.00','CE','NIFTY%2050');" TargetMode="External"/><Relationship Id="rId413" Type="http://schemas.openxmlformats.org/officeDocument/2006/relationships/hyperlink" Target="/live_market/dynaContent/live_watch/option_chain/optionDates.jsp?symbol=NIFTY&amp;instrument=OPTIDX&amp;strike=14800.00" TargetMode="External"/><Relationship Id="rId248" Type="http://schemas.openxmlformats.org/officeDocument/2006/relationships/hyperlink" Target="/live_market/dynaContent/live_watch/get_quote/GetQuoteFO.jsp?underlying=NIFTY&amp;instrument=OPTIDX&amp;strike=13050.00&amp;type=PE&amp;expiry=24DEC2020" TargetMode="External"/><Relationship Id="rId12" Type="http://schemas.openxmlformats.org/officeDocument/2006/relationships/hyperlink" Target="/live_market/dynaContent/live_watch/option_chain/optionDates.jsp?symbol=NIFTY&amp;instrument=OPTIDX&amp;strike=10250.00" TargetMode="External"/><Relationship Id="rId108" Type="http://schemas.openxmlformats.org/officeDocument/2006/relationships/hyperlink" Target="/live_market/dynaContent/live_watch/get_quote/GetQuoteFO.jsp?underlying=NIFTY&amp;instrument=OPTIDX&amp;strike=11500.00&amp;type=CE&amp;expiry=24DEC2020" TargetMode="External"/><Relationship Id="rId315" Type="http://schemas.openxmlformats.org/officeDocument/2006/relationships/hyperlink" Target="javascript:chartPopup('NIFTY',%20'OPTIDX',%20'24DEC2020',%20'13750.00','CE','NIFTY%2050');" TargetMode="External"/><Relationship Id="rId357" Type="http://schemas.openxmlformats.org/officeDocument/2006/relationships/hyperlink" Target="/live_market/dynaContent/live_watch/option_chain/optionDates.jsp?symbol=NIFTY&amp;instrument=OPTIDX&amp;strike=14150.00" TargetMode="External"/><Relationship Id="rId54" Type="http://schemas.openxmlformats.org/officeDocument/2006/relationships/hyperlink" Target="javascript:chartPopup('NIFTY',%20'OPTIDX',%20'24DEC2020',%20'10750.00','PE','NIFTY%2050');" TargetMode="External"/><Relationship Id="rId96" Type="http://schemas.openxmlformats.org/officeDocument/2006/relationships/hyperlink" Target="/live_market/dynaContent/live_watch/option_chain/optionDates.jsp?symbol=NIFTY&amp;instrument=OPTIDX&amp;strike=11350.00" TargetMode="External"/><Relationship Id="rId161" Type="http://schemas.openxmlformats.org/officeDocument/2006/relationships/hyperlink" Target="/live_market/dynaContent/live_watch/option_chain/optionDates.jsp?symbol=NIFTY&amp;instrument=OPTIDX&amp;strike=12150.00" TargetMode="External"/><Relationship Id="rId217" Type="http://schemas.openxmlformats.org/officeDocument/2006/relationships/hyperlink" Target="/live_market/dynaContent/live_watch/option_chain/optionDates.jsp?symbol=NIFTY&amp;instrument=OPTIDX&amp;strike=12750.00" TargetMode="External"/><Relationship Id="rId399" Type="http://schemas.openxmlformats.org/officeDocument/2006/relationships/hyperlink" Target="javascript:chartPopup('NIFTY',%20'OPTIDX',%20'24DEC2020',%20'14650.00','CE','NIFTY%2050');" TargetMode="External"/><Relationship Id="rId259" Type="http://schemas.openxmlformats.org/officeDocument/2006/relationships/hyperlink" Target="javascript:chartPopup('NIFTY',%20'OPTIDX',%20'24DEC2020',%20'13150.00','PE','NIFTY%2050');" TargetMode="External"/><Relationship Id="rId424" Type="http://schemas.openxmlformats.org/officeDocument/2006/relationships/hyperlink" Target="/live_market/dynaContent/live_watch/get_quote/GetQuoteFO.jsp?underlying=NIFTY&amp;instrument=OPTIDX&amp;strike=14950.00&amp;type=CE&amp;expiry=24DEC2020" TargetMode="External"/><Relationship Id="rId23" Type="http://schemas.openxmlformats.org/officeDocument/2006/relationships/hyperlink" Target="javascript:chartPopup('NIFTY',%20'OPTIDX',%20'24DEC2020',%20'10400.00','CE','NIFTY%2050');" TargetMode="External"/><Relationship Id="rId119" Type="http://schemas.openxmlformats.org/officeDocument/2006/relationships/hyperlink" Target="javascript:chartPopup('NIFTY',%20'OPTIDX',%20'24DEC2020',%20'11600.00','PE','NIFTY%2050');" TargetMode="External"/><Relationship Id="rId270" Type="http://schemas.openxmlformats.org/officeDocument/2006/relationships/hyperlink" Target="javascript:chartPopup('NIFTY',%20'OPTIDX',%20'24DEC2020',%20'13300.00','CE','NIFTY%2050');" TargetMode="External"/><Relationship Id="rId326" Type="http://schemas.openxmlformats.org/officeDocument/2006/relationships/hyperlink" Target="/live_market/dynaContent/live_watch/get_quote/GetQuoteFO.jsp?underlying=NIFTY&amp;instrument=OPTIDX&amp;strike=13850.00&amp;type=CE&amp;expiry=24DEC2020" TargetMode="External"/><Relationship Id="rId65" Type="http://schemas.openxmlformats.org/officeDocument/2006/relationships/hyperlink" Target="/live_market/dynaContent/live_watch/get_quote/GetQuoteFO.jsp?underlying=NIFTY&amp;instrument=OPTIDX&amp;strike=10900.00&amp;type=PE&amp;expiry=24DEC2020" TargetMode="External"/><Relationship Id="rId130" Type="http://schemas.openxmlformats.org/officeDocument/2006/relationships/hyperlink" Target="/live_market/dynaContent/live_watch/get_quote/GetQuoteFO.jsp?underlying=NIFTY&amp;instrument=OPTIDX&amp;strike=11750.00&amp;type=PE&amp;expiry=24DEC2020" TargetMode="External"/><Relationship Id="rId368" Type="http://schemas.openxmlformats.org/officeDocument/2006/relationships/hyperlink" Target="javascript:chartPopup('NIFTY',%20'OPTIDX',%20'24DEC2020',%20'14300.00','CE','NIFTY%2050');" TargetMode="External"/><Relationship Id="rId172" Type="http://schemas.openxmlformats.org/officeDocument/2006/relationships/hyperlink" Target="javascript:chartPopup('NIFTY',%20'OPTIDX',%20'24DEC2020',%20'12250.00','PE','NIFTY%2050');" TargetMode="External"/><Relationship Id="rId228" Type="http://schemas.openxmlformats.org/officeDocument/2006/relationships/hyperlink" Target="/live_market/dynaContent/live_watch/get_quote/GetQuoteFO.jsp?underlying=NIFTY&amp;instrument=OPTIDX&amp;strike=12850.00&amp;type=PE&amp;expiry=24DEC2020" TargetMode="External"/><Relationship Id="rId435" Type="http://schemas.openxmlformats.org/officeDocument/2006/relationships/hyperlink" Target="javascript:chartPopup('NIFTY',%20'OPTIDX',%20'24DEC2020',%20'15100.00','CE','NIFTY%2050');" TargetMode="External"/><Relationship Id="rId281" Type="http://schemas.openxmlformats.org/officeDocument/2006/relationships/hyperlink" Target="/live_market/dynaContent/live_watch/get_quote/GetQuoteFO.jsp?underlying=NIFTY&amp;instrument=OPTIDX&amp;strike=13400.00&amp;type=CE&amp;expiry=24DEC2020" TargetMode="External"/><Relationship Id="rId337" Type="http://schemas.openxmlformats.org/officeDocument/2006/relationships/hyperlink" Target="/live_market/dynaContent/live_watch/option_chain/optionDates.jsp?symbol=NIFTY&amp;instrument=OPTIDX&amp;strike=13950.00" TargetMode="External"/><Relationship Id="rId34" Type="http://schemas.openxmlformats.org/officeDocument/2006/relationships/hyperlink" Target="javascript:chartPopup('NIFTY',%20'OPTIDX',%20'24DEC2020',%20'10500.00','PE','NIFTY%2050');" TargetMode="External"/><Relationship Id="rId76" Type="http://schemas.openxmlformats.org/officeDocument/2006/relationships/hyperlink" Target="javascript:chartPopup('NIFTY',%20'OPTIDX',%20'24DEC2020',%20'11050.00','PE','NIFTY%2050');" TargetMode="External"/><Relationship Id="rId141" Type="http://schemas.openxmlformats.org/officeDocument/2006/relationships/hyperlink" Target="/live_market/dynaContent/live_watch/option_chain/optionDates.jsp?symbol=NIFTY&amp;instrument=OPTIDX&amp;strike=11900.00" TargetMode="External"/><Relationship Id="rId379" Type="http://schemas.openxmlformats.org/officeDocument/2006/relationships/hyperlink" Target="/live_market/dynaContent/live_watch/option_chain/optionDates.jsp?symbol=NIFTY&amp;instrument=OPTIDX&amp;strike=14400.00" TargetMode="External"/><Relationship Id="rId7" Type="http://schemas.openxmlformats.org/officeDocument/2006/relationships/hyperlink" Target="/live_market/dynaContent/live_watch/get_quote/GetQuoteFO.jsp?underlying=NIFTY&amp;instrument=OPTIDX&amp;strike=10200.00&amp;type=CE&amp;expiry=24DEC2020" TargetMode="External"/><Relationship Id="rId183" Type="http://schemas.openxmlformats.org/officeDocument/2006/relationships/hyperlink" Target="/live_market/dynaContent/live_watch/get_quote/GetQuoteFO.jsp?underlying=NIFTY&amp;instrument=OPTIDX&amp;strike=12400.00&amp;type=CE&amp;expiry=24DEC2020" TargetMode="External"/><Relationship Id="rId239" Type="http://schemas.openxmlformats.org/officeDocument/2006/relationships/hyperlink" Target="javascript:chartPopup('NIFTY',%20'OPTIDX',%20'24DEC2020',%20'12950.00','PE','NIFTY%2050');" TargetMode="External"/><Relationship Id="rId390" Type="http://schemas.openxmlformats.org/officeDocument/2006/relationships/hyperlink" Target="javascript:chartPopup('NIFTY',%20'OPTIDX',%20'24DEC2020',%20'14500.00','PE','NIFTY%2050');" TargetMode="External"/><Relationship Id="rId404" Type="http://schemas.openxmlformats.org/officeDocument/2006/relationships/hyperlink" Target="/live_market/dynaContent/live_watch/get_quote/GetQuoteFO.jsp?underlying=NIFTY&amp;instrument=OPTIDX&amp;strike=14700.00&amp;type=CE&amp;expiry=24DEC2020" TargetMode="External"/><Relationship Id="rId446" Type="http://schemas.openxmlformats.org/officeDocument/2006/relationships/hyperlink" Target="javascript:chartPopup('NIFTY',%20'OPTIDX',%20'24DEC2020',%20'15200.00','PE','NIFTY%2050');" TargetMode="External"/><Relationship Id="rId250" Type="http://schemas.openxmlformats.org/officeDocument/2006/relationships/hyperlink" Target="javascript:chartPopup('NIFTY',%20'OPTIDX',%20'24DEC2020',%20'13100.00','CE','NIFTY%2050');" TargetMode="External"/><Relationship Id="rId292" Type="http://schemas.openxmlformats.org/officeDocument/2006/relationships/hyperlink" Target="/live_market/dynaContent/live_watch/option_chain/optionDates.jsp?symbol=NIFTY&amp;instrument=OPTIDX&amp;strike=13500.00" TargetMode="External"/><Relationship Id="rId306" Type="http://schemas.openxmlformats.org/officeDocument/2006/relationships/hyperlink" Target="/live_market/dynaContent/live_watch/get_quote/GetQuoteFO.jsp?underlying=NIFTY&amp;instrument=OPTIDX&amp;strike=13650.00&amp;type=CE&amp;expiry=24DEC2020" TargetMode="External"/><Relationship Id="rId45" Type="http://schemas.openxmlformats.org/officeDocument/2006/relationships/hyperlink" Target="/live_market/dynaContent/live_watch/get_quote/GetQuoteFO.jsp?underlying=NIFTY&amp;instrument=OPTIDX&amp;strike=10650.00&amp;type=PE&amp;expiry=24DEC2020" TargetMode="External"/><Relationship Id="rId87" Type="http://schemas.openxmlformats.org/officeDocument/2006/relationships/hyperlink" Target="javascript:chartPopup('NIFTY',%20'OPTIDX',%20'24DEC2020',%20'11200.00','PE','NIFTY%2050');" TargetMode="External"/><Relationship Id="rId110" Type="http://schemas.openxmlformats.org/officeDocument/2006/relationships/hyperlink" Target="/live_market/dynaContent/live_watch/get_quote/GetQuoteFO.jsp?underlying=NIFTY&amp;instrument=OPTIDX&amp;strike=11500.00&amp;type=PE&amp;expiry=24DEC2020" TargetMode="External"/><Relationship Id="rId348" Type="http://schemas.openxmlformats.org/officeDocument/2006/relationships/hyperlink" Target="/live_market/dynaContent/live_watch/get_quote/GetQuoteFO.jsp?underlying=NIFTY&amp;instrument=OPTIDX&amp;strike=14050.00&amp;type=PE&amp;expiry=24DEC2020" TargetMode="External"/><Relationship Id="rId152" Type="http://schemas.openxmlformats.org/officeDocument/2006/relationships/hyperlink" Target="javascript:chartPopup('NIFTY',%20'OPTIDX',%20'24DEC2020',%20'12050.00','CE','NIFTY%2050');" TargetMode="External"/><Relationship Id="rId194" Type="http://schemas.openxmlformats.org/officeDocument/2006/relationships/hyperlink" Target="/live_market/dynaContent/live_watch/option_chain/optionDates.jsp?symbol=NIFTY&amp;instrument=OPTIDX&amp;strike=12500.00" TargetMode="External"/><Relationship Id="rId208" Type="http://schemas.openxmlformats.org/officeDocument/2006/relationships/hyperlink" Target="/live_market/dynaContent/live_watch/get_quote/GetQuoteFO.jsp?underlying=NIFTY&amp;instrument=OPTIDX&amp;strike=12650.00&amp;type=PE&amp;expiry=24DEC2020" TargetMode="External"/><Relationship Id="rId415" Type="http://schemas.openxmlformats.org/officeDocument/2006/relationships/hyperlink" Target="javascript:chartPopup('NIFTY',%20'OPTIDX',%20'24DEC2020',%20'14850.00','CE','NIFTY%2050');" TargetMode="External"/><Relationship Id="rId261" Type="http://schemas.openxmlformats.org/officeDocument/2006/relationships/hyperlink" Target="/live_market/dynaContent/live_watch/get_quote/GetQuoteFO.jsp?underlying=NIFTY&amp;instrument=OPTIDX&amp;strike=13200.00&amp;type=CE&amp;expiry=24DEC2020" TargetMode="External"/><Relationship Id="rId14" Type="http://schemas.openxmlformats.org/officeDocument/2006/relationships/hyperlink" Target="javascript:chartPopup('NIFTY',%20'OPTIDX',%20'24DEC2020',%20'10250.00','PE','NIFTY%2050');" TargetMode="External"/><Relationship Id="rId56" Type="http://schemas.openxmlformats.org/officeDocument/2006/relationships/hyperlink" Target="/live_market/dynaContent/live_watch/option_chain/optionDates.jsp?symbol=NIFTY&amp;instrument=OPTIDX&amp;strike=10800.00" TargetMode="External"/><Relationship Id="rId317" Type="http://schemas.openxmlformats.org/officeDocument/2006/relationships/hyperlink" Target="/live_market/dynaContent/live_watch/option_chain/optionDates.jsp?symbol=NIFTY&amp;instrument=OPTIDX&amp;strike=13750.00" TargetMode="External"/><Relationship Id="rId359" Type="http://schemas.openxmlformats.org/officeDocument/2006/relationships/hyperlink" Target="javascript:chartPopup('NIFTY',%20'OPTIDX',%20'24DEC2020',%20'14200.00','CE','NIFTY%2050');" TargetMode="External"/><Relationship Id="rId98" Type="http://schemas.openxmlformats.org/officeDocument/2006/relationships/hyperlink" Target="javascript:chartPopup('NIFTY',%20'OPTIDX',%20'24DEC2020',%20'11350.00','PE','NIFTY%2050');" TargetMode="External"/><Relationship Id="rId121" Type="http://schemas.openxmlformats.org/officeDocument/2006/relationships/hyperlink" Target="/live_market/dynaContent/live_watch/option_chain/optionDates.jsp?symbol=NIFTY&amp;instrument=OPTIDX&amp;strike=11650.00" TargetMode="External"/><Relationship Id="rId163" Type="http://schemas.openxmlformats.org/officeDocument/2006/relationships/hyperlink" Target="javascript:chartPopup('NIFTY',%20'OPTIDX',%20'24DEC2020',%20'12150.00','PE','NIFTY%2050');" TargetMode="External"/><Relationship Id="rId219" Type="http://schemas.openxmlformats.org/officeDocument/2006/relationships/hyperlink" Target="javascript:chartPopup('NIFTY',%20'OPTIDX',%20'24DEC2020',%20'12750.00','PE','NIFTY%2050');" TargetMode="External"/><Relationship Id="rId370" Type="http://schemas.openxmlformats.org/officeDocument/2006/relationships/hyperlink" Target="/live_market/dynaContent/live_watch/option_chain/optionDates.jsp?symbol=NIFTY&amp;instrument=OPTIDX&amp;strike=14300.00" TargetMode="External"/><Relationship Id="rId426" Type="http://schemas.openxmlformats.org/officeDocument/2006/relationships/hyperlink" Target="javascript:chartPopup('NIFTY',%20'OPTIDX',%20'24DEC2020',%20'14950.00','PE','NIFTY%2050');" TargetMode="External"/><Relationship Id="rId230" Type="http://schemas.openxmlformats.org/officeDocument/2006/relationships/hyperlink" Target="javascript:chartPopup('NIFTY',%20'OPTIDX',%20'24DEC2020',%20'12900.00','CE','NIFTY%2050');" TargetMode="External"/><Relationship Id="rId25" Type="http://schemas.openxmlformats.org/officeDocument/2006/relationships/hyperlink" Target="/live_market/dynaContent/live_watch/get_quote/GetQuoteFO.jsp?underlying=NIFTY&amp;instrument=OPTIDX&amp;strike=10400.00&amp;type=PE&amp;expiry=24DEC2020" TargetMode="External"/><Relationship Id="rId67" Type="http://schemas.openxmlformats.org/officeDocument/2006/relationships/hyperlink" Target="javascript:chartPopup('NIFTY',%20'OPTIDX',%20'24DEC2020',%20'10950.00','CE','NIFTY%2050');" TargetMode="External"/><Relationship Id="rId272" Type="http://schemas.openxmlformats.org/officeDocument/2006/relationships/hyperlink" Target="/live_market/dynaContent/live_watch/option_chain/optionDates.jsp?symbol=NIFTY&amp;instrument=OPTIDX&amp;strike=13300.00" TargetMode="External"/><Relationship Id="rId328" Type="http://schemas.openxmlformats.org/officeDocument/2006/relationships/hyperlink" Target="/live_market/dynaContent/live_watch/get_quote/GetQuoteFO.jsp?underlying=NIFTY&amp;instrument=OPTIDX&amp;strike=13850.00&amp;type=PE&amp;expiry=24DEC2020" TargetMode="External"/><Relationship Id="rId132" Type="http://schemas.openxmlformats.org/officeDocument/2006/relationships/hyperlink" Target="javascript:chartPopup('NIFTY',%20'OPTIDX',%20'24DEC2020',%20'11800.00','CE','NIFTY%2050');" TargetMode="External"/><Relationship Id="rId174" Type="http://schemas.openxmlformats.org/officeDocument/2006/relationships/hyperlink" Target="/live_market/dynaContent/live_watch/get_quote/GetQuoteFO.jsp?underlying=NIFTY&amp;instrument=OPTIDX&amp;strike=12300.00&amp;type=CE&amp;expiry=24DEC2020" TargetMode="External"/><Relationship Id="rId381" Type="http://schemas.openxmlformats.org/officeDocument/2006/relationships/hyperlink" Target="javascript:chartPopup('NIFTY',%20'OPTIDX',%20'24DEC2020',%20'14400.00','PE','NIFTY%2050');" TargetMode="External"/><Relationship Id="rId241" Type="http://schemas.openxmlformats.org/officeDocument/2006/relationships/hyperlink" Target="/live_market/dynaContent/live_watch/get_quote/GetQuoteFO.jsp?underlying=NIFTY&amp;instrument=OPTIDX&amp;strike=13000.00&amp;type=CE&amp;expiry=24DEC2020" TargetMode="External"/><Relationship Id="rId437" Type="http://schemas.openxmlformats.org/officeDocument/2006/relationships/hyperlink" Target="/live_market/dynaContent/live_watch/option_chain/optionDates.jsp?symbol=NIFTY&amp;instrument=OPTIDX&amp;strike=15100.00" TargetMode="External"/><Relationship Id="rId36" Type="http://schemas.openxmlformats.org/officeDocument/2006/relationships/hyperlink" Target="/live_market/dynaContent/live_watch/option_chain/optionDates.jsp?symbol=NIFTY&amp;instrument=OPTIDX&amp;strike=10550.00" TargetMode="External"/><Relationship Id="rId283" Type="http://schemas.openxmlformats.org/officeDocument/2006/relationships/hyperlink" Target="/live_market/dynaContent/live_watch/get_quote/GetQuoteFO.jsp?underlying=NIFTY&amp;instrument=OPTIDX&amp;strike=13400.00&amp;type=PE&amp;expiry=24DEC2020" TargetMode="External"/><Relationship Id="rId339" Type="http://schemas.openxmlformats.org/officeDocument/2006/relationships/hyperlink" Target="javascript:chartPopup('NIFTY',%20'OPTIDX',%20'24DEC2020',%20'13950.00','PE','NIFTY%2050');" TargetMode="External"/><Relationship Id="rId78" Type="http://schemas.openxmlformats.org/officeDocument/2006/relationships/hyperlink" Target="/live_market/dynaContent/live_watch/option_chain/optionDates.jsp?symbol=NIFTY&amp;instrument=OPTIDX&amp;strike=11100.00" TargetMode="External"/><Relationship Id="rId101" Type="http://schemas.openxmlformats.org/officeDocument/2006/relationships/hyperlink" Target="/live_market/dynaContent/live_watch/get_quote/GetQuoteFO.jsp?underlying=NIFTY&amp;instrument=OPTIDX&amp;strike=11400.00&amp;type=PE&amp;expiry=24DEC2020" TargetMode="External"/><Relationship Id="rId143" Type="http://schemas.openxmlformats.org/officeDocument/2006/relationships/hyperlink" Target="javascript:chartPopup('NIFTY',%20'OPTIDX',%20'24DEC2020',%20'11900.00','PE','NIFTY%2050');" TargetMode="External"/><Relationship Id="rId185" Type="http://schemas.openxmlformats.org/officeDocument/2006/relationships/hyperlink" Target="/live_market/dynaContent/live_watch/get_quote/GetQuoteFO.jsp?underlying=NIFTY&amp;instrument=OPTIDX&amp;strike=12400.00&amp;type=PE&amp;expiry=24DEC2020" TargetMode="External"/><Relationship Id="rId350" Type="http://schemas.openxmlformats.org/officeDocument/2006/relationships/hyperlink" Target="javascript:chartPopup('NIFTY',%20'OPTIDX',%20'24DEC2020',%20'14100.00','CE','NIFTY%2050');" TargetMode="External"/><Relationship Id="rId406" Type="http://schemas.openxmlformats.org/officeDocument/2006/relationships/hyperlink" Target="javascript:chartPopup('NIFTY',%20'OPTIDX',%20'24DEC2020',%20'14700.00','PE','NIFTY%2050');" TargetMode="External"/><Relationship Id="rId9" Type="http://schemas.openxmlformats.org/officeDocument/2006/relationships/hyperlink" Target="/live_market/dynaContent/live_watch/get_quote/GetQuoteFO.jsp?underlying=NIFTY&amp;instrument=OPTIDX&amp;strike=10200.00&amp;type=PE&amp;expiry=24DEC2020" TargetMode="External"/><Relationship Id="rId210" Type="http://schemas.openxmlformats.org/officeDocument/2006/relationships/hyperlink" Target="javascript:chartPopup('NIFTY',%20'OPTIDX',%20'24DEC2020',%20'12700.00','CE','NIFTY%2050');" TargetMode="External"/><Relationship Id="rId392" Type="http://schemas.openxmlformats.org/officeDocument/2006/relationships/hyperlink" Target="/live_market/dynaContent/live_watch/get_quote/GetQuoteFO.jsp?underlying=NIFTY&amp;instrument=OPTIDX&amp;strike=14550.00&amp;type=CE&amp;expiry=24DEC2020" TargetMode="External"/><Relationship Id="rId448" Type="http://schemas.openxmlformats.org/officeDocument/2006/relationships/hyperlink" Target="/live_market/dynaContent/live_watch/get_quote/GetQuoteFO.jsp?underlying=NIFTY&amp;instrument=OPTIDX&amp;strike=15250.00&amp;type=CE&amp;expiry=24DEC2020" TargetMode="External"/><Relationship Id="rId252" Type="http://schemas.openxmlformats.org/officeDocument/2006/relationships/hyperlink" Target="/live_market/dynaContent/live_watch/option_chain/optionDates.jsp?symbol=NIFTY&amp;instrument=OPTIDX&amp;strike=13100.00" TargetMode="External"/><Relationship Id="rId294" Type="http://schemas.openxmlformats.org/officeDocument/2006/relationships/hyperlink" Target="javascript:chartPopup('NIFTY',%20'OPTIDX',%20'24DEC2020',%20'13500.00','PE','NIFTY%2050');" TargetMode="External"/><Relationship Id="rId308" Type="http://schemas.openxmlformats.org/officeDocument/2006/relationships/hyperlink" Target="/live_market/dynaContent/live_watch/get_quote/GetQuoteFO.jsp?underlying=NIFTY&amp;instrument=OPTIDX&amp;strike=13650.00&amp;type=PE&amp;expiry=24DEC2020" TargetMode="External"/><Relationship Id="rId47" Type="http://schemas.openxmlformats.org/officeDocument/2006/relationships/hyperlink" Target="javascript:chartPopup('NIFTY',%20'OPTIDX',%20'24DEC2020',%20'10700.00','CE','NIFTY%2050');" TargetMode="External"/><Relationship Id="rId89" Type="http://schemas.openxmlformats.org/officeDocument/2006/relationships/hyperlink" Target="/live_market/dynaContent/live_watch/option_chain/optionDates.jsp?symbol=NIFTY&amp;instrument=OPTIDX&amp;strike=11250.00" TargetMode="External"/><Relationship Id="rId112" Type="http://schemas.openxmlformats.org/officeDocument/2006/relationships/hyperlink" Target="javascript:chartPopup('NIFTY',%20'OPTIDX',%20'24DEC2020',%20'11550.00','CE','NIFTY%2050');" TargetMode="External"/><Relationship Id="rId154" Type="http://schemas.openxmlformats.org/officeDocument/2006/relationships/hyperlink" Target="/live_market/dynaContent/live_watch/get_quote/GetQuoteFO.jsp?underlying=NIFTY&amp;instrument=OPTIDX&amp;strike=12050.00&amp;type=PE&amp;expiry=24DEC2020" TargetMode="External"/><Relationship Id="rId361" Type="http://schemas.openxmlformats.org/officeDocument/2006/relationships/hyperlink" Target="/live_market/dynaContent/live_watch/option_chain/optionDates.jsp?symbol=NIFTY&amp;instrument=OPTIDX&amp;strike=14200.00" TargetMode="External"/><Relationship Id="rId196" Type="http://schemas.openxmlformats.org/officeDocument/2006/relationships/hyperlink" Target="javascript:chartPopup('NIFTY',%20'OPTIDX',%20'24DEC2020',%20'12500.00','PE','NIFTY%2050');" TargetMode="External"/><Relationship Id="rId417" Type="http://schemas.openxmlformats.org/officeDocument/2006/relationships/hyperlink" Target="/live_market/dynaContent/live_watch/option_chain/optionDates.jsp?symbol=NIFTY&amp;instrument=OPTIDX&amp;strike=14850.00" TargetMode="External"/><Relationship Id="rId16" Type="http://schemas.openxmlformats.org/officeDocument/2006/relationships/hyperlink" Target="/live_market/dynaContent/live_watch/option_chain/optionDates.jsp?symbol=NIFTY&amp;instrument=OPTIDX&amp;strike=10300.00" TargetMode="External"/><Relationship Id="rId221" Type="http://schemas.openxmlformats.org/officeDocument/2006/relationships/hyperlink" Target="/live_market/dynaContent/live_watch/get_quote/GetQuoteFO.jsp?underlying=NIFTY&amp;instrument=OPTIDX&amp;strike=12800.00&amp;type=CE&amp;expiry=24DEC2020" TargetMode="External"/><Relationship Id="rId263" Type="http://schemas.openxmlformats.org/officeDocument/2006/relationships/hyperlink" Target="/live_market/dynaContent/live_watch/get_quote/GetQuoteFO.jsp?underlying=NIFTY&amp;instrument=OPTIDX&amp;strike=13200.00&amp;type=PE&amp;expiry=24DEC2020" TargetMode="External"/><Relationship Id="rId319" Type="http://schemas.openxmlformats.org/officeDocument/2006/relationships/hyperlink" Target="javascript:chartPopup('NIFTY',%20'OPTIDX',%20'24DEC2020',%20'13750.00','PE','NIFTY%2050');" TargetMode="External"/><Relationship Id="rId58" Type="http://schemas.openxmlformats.org/officeDocument/2006/relationships/hyperlink" Target="javascript:chartPopup('NIFTY',%20'OPTIDX',%20'24DEC2020',%20'10800.00','PE','NIFTY%2050');" TargetMode="External"/><Relationship Id="rId123" Type="http://schemas.openxmlformats.org/officeDocument/2006/relationships/hyperlink" Target="javascript:chartPopup('NIFTY',%20'OPTIDX',%20'24DEC2020',%20'11650.00','PE','NIFTY%2050');" TargetMode="External"/><Relationship Id="rId330" Type="http://schemas.openxmlformats.org/officeDocument/2006/relationships/hyperlink" Target="javascript:chartPopup('NIFTY',%20'OPTIDX',%20'24DEC2020',%20'13900.00','CE','NIFTY%2050');" TargetMode="External"/><Relationship Id="rId165" Type="http://schemas.openxmlformats.org/officeDocument/2006/relationships/hyperlink" Target="/live_market/dynaContent/live_watch/get_quote/GetQuoteFO.jsp?underlying=NIFTY&amp;instrument=OPTIDX&amp;strike=12200.00&amp;type=CE&amp;expiry=24DEC2020" TargetMode="External"/><Relationship Id="rId372" Type="http://schemas.openxmlformats.org/officeDocument/2006/relationships/hyperlink" Target="javascript:chartPopup('NIFTY',%20'OPTIDX',%20'24DEC2020',%20'14300.00','PE','NIFTY%2050');" TargetMode="External"/><Relationship Id="rId428" Type="http://schemas.openxmlformats.org/officeDocument/2006/relationships/hyperlink" Target="/live_market/dynaContent/live_watch/get_quote/GetQuoteFO.jsp?underlying=NIFTY&amp;instrument=OPTIDX&amp;strike=15000.00&amp;type=CE&amp;expiry=24DEC2020" TargetMode="External"/><Relationship Id="rId232" Type="http://schemas.openxmlformats.org/officeDocument/2006/relationships/hyperlink" Target="/live_market/dynaContent/live_watch/option_chain/optionDates.jsp?symbol=NIFTY&amp;instrument=OPTIDX&amp;strike=12900.00" TargetMode="External"/><Relationship Id="rId274" Type="http://schemas.openxmlformats.org/officeDocument/2006/relationships/hyperlink" Target="javascript:chartPopup('NIFTY',%20'OPTIDX',%20'24DEC2020',%20'13300.00','PE','NIFTY%2050');" TargetMode="External"/><Relationship Id="rId27" Type="http://schemas.openxmlformats.org/officeDocument/2006/relationships/hyperlink" Target="javascript:chartPopup('NIFTY',%20'OPTIDX',%20'24DEC2020',%20'10450.00','CE','NIFTY%2050');" TargetMode="External"/><Relationship Id="rId69" Type="http://schemas.openxmlformats.org/officeDocument/2006/relationships/hyperlink" Target="javascript:chartPopup('NIFTY',%20'OPTIDX',%20'24DEC2020',%20'10950.00','PE','NIFTY%2050');" TargetMode="External"/><Relationship Id="rId134" Type="http://schemas.openxmlformats.org/officeDocument/2006/relationships/hyperlink" Target="/live_market/dynaContent/live_watch/get_quote/GetQuoteFO.jsp?underlying=NIFTY&amp;instrument=OPTIDX&amp;strike=11800.00&amp;type=PE&amp;expiry=24DEC2020" TargetMode="External"/><Relationship Id="rId80" Type="http://schemas.openxmlformats.org/officeDocument/2006/relationships/hyperlink" Target="javascript:chartPopup('NIFTY',%20'OPTIDX',%20'24DEC2020',%20'11100.00','PE','NIFTY%2050');" TargetMode="External"/><Relationship Id="rId176" Type="http://schemas.openxmlformats.org/officeDocument/2006/relationships/hyperlink" Target="/live_market/dynaContent/live_watch/get_quote/GetQuoteFO.jsp?underlying=NIFTY&amp;instrument=OPTIDX&amp;strike=12300.00&amp;type=PE&amp;expiry=24DEC2020" TargetMode="External"/><Relationship Id="rId341" Type="http://schemas.openxmlformats.org/officeDocument/2006/relationships/hyperlink" Target="/live_market/dynaContent/live_watch/get_quote/GetQuoteFO.jsp?underlying=NIFTY&amp;instrument=OPTIDX&amp;strike=14000.00&amp;type=CE&amp;expiry=24DEC2020" TargetMode="External"/><Relationship Id="rId383" Type="http://schemas.openxmlformats.org/officeDocument/2006/relationships/hyperlink" Target="/live_market/dynaContent/live_watch/get_quote/GetQuoteFO.jsp?underlying=NIFTY&amp;instrument=OPTIDX&amp;strike=14450.00&amp;type=CE&amp;expiry=24DEC2020" TargetMode="External"/><Relationship Id="rId439" Type="http://schemas.openxmlformats.org/officeDocument/2006/relationships/hyperlink" Target="javascript:chartPopup('NIFTY',%20'OPTIDX',%20'24DEC2020',%20'15150.00','CE','NIFTY%2050');" TargetMode="External"/><Relationship Id="rId201" Type="http://schemas.openxmlformats.org/officeDocument/2006/relationships/hyperlink" Target="javascript:chartPopup('NIFTY',%20'OPTIDX',%20'24DEC2020',%20'12600.00','CE','NIFTY%2050');" TargetMode="External"/><Relationship Id="rId243" Type="http://schemas.openxmlformats.org/officeDocument/2006/relationships/hyperlink" Target="/live_market/dynaContent/live_watch/get_quote/GetQuoteFO.jsp?underlying=NIFTY&amp;instrument=OPTIDX&amp;strike=13000.00&amp;type=PE&amp;expiry=24DEC2020" TargetMode="External"/><Relationship Id="rId285" Type="http://schemas.openxmlformats.org/officeDocument/2006/relationships/hyperlink" Target="javascript:chartPopup('NIFTY',%20'OPTIDX',%20'24DEC2020',%20'13450.00','CE','NIFTY%2050');" TargetMode="External"/><Relationship Id="rId450" Type="http://schemas.openxmlformats.org/officeDocument/2006/relationships/hyperlink" Target="javascript:chartPopup('NIFTY',%20'OPTIDX',%20'24DEC2020',%20'15250.00','PE','NIFTY%2050');" TargetMode="External"/><Relationship Id="rId38" Type="http://schemas.openxmlformats.org/officeDocument/2006/relationships/hyperlink" Target="javascript:chartPopup('NIFTY',%20'OPTIDX',%20'24DEC2020',%20'10550.00','PE','NIFTY%2050');" TargetMode="External"/><Relationship Id="rId103" Type="http://schemas.openxmlformats.org/officeDocument/2006/relationships/hyperlink" Target="javascript:chartPopup('NIFTY',%20'OPTIDX',%20'24DEC2020',%20'11450.00','CE','NIFTY%2050');" TargetMode="External"/><Relationship Id="rId310" Type="http://schemas.openxmlformats.org/officeDocument/2006/relationships/hyperlink" Target="javascript:chartPopup('NIFTY',%20'OPTIDX',%20'24DEC2020',%20'13700.00','CE','NIFTY%2050');" TargetMode="External"/><Relationship Id="rId91" Type="http://schemas.openxmlformats.org/officeDocument/2006/relationships/hyperlink" Target="javascript:chartPopup('NIFTY',%20'OPTIDX',%20'24DEC2020',%20'11300.00','CE','NIFTY%2050');" TargetMode="External"/><Relationship Id="rId145" Type="http://schemas.openxmlformats.org/officeDocument/2006/relationships/hyperlink" Target="/live_market/dynaContent/live_watch/option_chain/optionDates.jsp?symbol=NIFTY&amp;instrument=OPTIDX&amp;strike=11950.00" TargetMode="External"/><Relationship Id="rId187" Type="http://schemas.openxmlformats.org/officeDocument/2006/relationships/hyperlink" Target="javascript:chartPopup('NIFTY',%20'OPTIDX',%20'24DEC2020',%20'12450.00','CE','NIFTY%2050');" TargetMode="External"/><Relationship Id="rId352" Type="http://schemas.openxmlformats.org/officeDocument/2006/relationships/hyperlink" Target="/live_market/dynaContent/live_watch/option_chain/optionDates.jsp?symbol=NIFTY&amp;instrument=OPTIDX&amp;strike=14100.00" TargetMode="External"/><Relationship Id="rId394" Type="http://schemas.openxmlformats.org/officeDocument/2006/relationships/hyperlink" Target="javascript:chartPopup('NIFTY',%20'OPTIDX',%20'24DEC2020',%20'14550.00','PE','NIFTY%2050');" TargetMode="External"/><Relationship Id="rId408" Type="http://schemas.openxmlformats.org/officeDocument/2006/relationships/hyperlink" Target="/live_market/dynaContent/live_watch/get_quote/GetQuoteFO.jsp?underlying=NIFTY&amp;instrument=OPTIDX&amp;strike=14750.00&amp;type=CE&amp;expiry=24DEC2020" TargetMode="External"/><Relationship Id="rId212" Type="http://schemas.openxmlformats.org/officeDocument/2006/relationships/hyperlink" Target="/live_market/dynaContent/live_watch/option_chain/optionDates.jsp?symbol=NIFTY&amp;instrument=OPTIDX&amp;strike=12700.00" TargetMode="External"/><Relationship Id="rId254" Type="http://schemas.openxmlformats.org/officeDocument/2006/relationships/hyperlink" Target="javascript:chartPopup('NIFTY',%20'OPTIDX',%20'24DEC2020',%20'13100.00','PE','NIFTY%2050');" TargetMode="External"/><Relationship Id="rId49" Type="http://schemas.openxmlformats.org/officeDocument/2006/relationships/hyperlink" Target="/live_market/dynaContent/live_watch/get_quote/GetQuoteFO.jsp?underlying=NIFTY&amp;instrument=OPTIDX&amp;strike=10700.00&amp;type=PE&amp;expiry=24DEC2020" TargetMode="External"/><Relationship Id="rId114" Type="http://schemas.openxmlformats.org/officeDocument/2006/relationships/hyperlink" Target="/live_market/dynaContent/live_watch/get_quote/GetQuoteFO.jsp?underlying=NIFTY&amp;instrument=OPTIDX&amp;strike=11550.00&amp;type=PE&amp;expiry=24DEC2020" TargetMode="External"/><Relationship Id="rId296" Type="http://schemas.openxmlformats.org/officeDocument/2006/relationships/hyperlink" Target="/live_market/dynaContent/live_watch/get_quote/GetQuoteFO.jsp?underlying=NIFTY&amp;instrument=OPTIDX&amp;strike=13550.00&amp;type=CE&amp;expiry=24DEC2020" TargetMode="External"/><Relationship Id="rId60" Type="http://schemas.openxmlformats.org/officeDocument/2006/relationships/hyperlink" Target="/live_market/dynaContent/live_watch/option_chain/optionDates.jsp?symbol=NIFTY&amp;instrument=OPTIDX&amp;strike=10850.00" TargetMode="External"/><Relationship Id="rId156" Type="http://schemas.openxmlformats.org/officeDocument/2006/relationships/hyperlink" Target="javascript:chartPopup('NIFTY',%20'OPTIDX',%20'24DEC2020',%20'12100.00','CE','NIFTY%2050');" TargetMode="External"/><Relationship Id="rId198" Type="http://schemas.openxmlformats.org/officeDocument/2006/relationships/hyperlink" Target="/live_market/dynaContent/live_watch/option_chain/optionDates.jsp?symbol=NIFTY&amp;instrument=OPTIDX&amp;strike=12550.00" TargetMode="External"/><Relationship Id="rId321" Type="http://schemas.openxmlformats.org/officeDocument/2006/relationships/hyperlink" Target="/live_market/dynaContent/live_watch/get_quote/GetQuoteFO.jsp?underlying=NIFTY&amp;instrument=OPTIDX&amp;strike=13800.00&amp;type=CE&amp;expiry=24DEC2020" TargetMode="External"/><Relationship Id="rId363" Type="http://schemas.openxmlformats.org/officeDocument/2006/relationships/hyperlink" Target="javascript:chartPopup('NIFTY',%20'OPTIDX',%20'24DEC2020',%20'14200.00','PE','NIFTY%2050');" TargetMode="External"/><Relationship Id="rId419" Type="http://schemas.openxmlformats.org/officeDocument/2006/relationships/hyperlink" Target="javascript:chartPopup('NIFTY',%20'OPTIDX',%20'24DEC2020',%20'14900.00','CE','NIFTY%2050');" TargetMode="External"/><Relationship Id="rId223" Type="http://schemas.openxmlformats.org/officeDocument/2006/relationships/hyperlink" Target="/live_market/dynaContent/live_watch/get_quote/GetQuoteFO.jsp?underlying=NIFTY&amp;instrument=OPTIDX&amp;strike=12800.00&amp;type=PE&amp;expiry=24DEC2020" TargetMode="External"/><Relationship Id="rId430" Type="http://schemas.openxmlformats.org/officeDocument/2006/relationships/hyperlink" Target="javascript:chartPopup('NIFTY',%20'OPTIDX',%20'24DEC2020',%20'15000.00','PE','NIFTY%2050');" TargetMode="External"/><Relationship Id="rId18" Type="http://schemas.openxmlformats.org/officeDocument/2006/relationships/hyperlink" Target="javascript:chartPopup('NIFTY',%20'OPTIDX',%20'24DEC2020',%20'10300.00','PE','NIFTY%2050');" TargetMode="External"/><Relationship Id="rId265" Type="http://schemas.openxmlformats.org/officeDocument/2006/relationships/hyperlink" Target="javascript:chartPopup('NIFTY',%20'OPTIDX',%20'24DEC2020',%20'13250.00','CE','NIFTY%2050');" TargetMode="External"/><Relationship Id="rId50" Type="http://schemas.openxmlformats.org/officeDocument/2006/relationships/hyperlink" Target="javascript:chartPopup('NIFTY',%20'OPTIDX',%20'24DEC2020',%20'10700.00','PE','NIFTY%2050');" TargetMode="External"/><Relationship Id="rId104" Type="http://schemas.openxmlformats.org/officeDocument/2006/relationships/hyperlink" Target="/live_market/dynaContent/live_watch/option_chain/optionDates.jsp?symbol=NIFTY&amp;instrument=OPTIDX&amp;strike=11450.00" TargetMode="External"/><Relationship Id="rId125" Type="http://schemas.openxmlformats.org/officeDocument/2006/relationships/hyperlink" Target="/live_market/dynaContent/live_watch/option_chain/optionDates.jsp?symbol=NIFTY&amp;instrument=OPTIDX&amp;strike=11700.00" TargetMode="External"/><Relationship Id="rId146" Type="http://schemas.openxmlformats.org/officeDocument/2006/relationships/hyperlink" Target="javascript:chartPopup('NIFTY',%20'OPTIDX',%20'24DEC2020',%20'11950.00','PE','NIFTY%2050');" TargetMode="External"/><Relationship Id="rId167" Type="http://schemas.openxmlformats.org/officeDocument/2006/relationships/hyperlink" Target="/live_market/dynaContent/live_watch/get_quote/GetQuoteFO.jsp?underlying=NIFTY&amp;instrument=OPTIDX&amp;strike=12200.00&amp;type=PE&amp;expiry=24DEC2020" TargetMode="External"/><Relationship Id="rId188" Type="http://schemas.openxmlformats.org/officeDocument/2006/relationships/hyperlink" Target="/live_market/dynaContent/live_watch/get_quote/GetQuoteFO.jsp?underlying=NIFTY&amp;instrument=OPTIDX&amp;strike=12450.00&amp;type=CE&amp;expiry=24DEC2020" TargetMode="External"/><Relationship Id="rId311" Type="http://schemas.openxmlformats.org/officeDocument/2006/relationships/hyperlink" Target="/live_market/dynaContent/live_watch/get_quote/GetQuoteFO.jsp?underlying=NIFTY&amp;instrument=OPTIDX&amp;strike=13700.00&amp;type=CE&amp;expiry=24DEC2020" TargetMode="External"/><Relationship Id="rId332" Type="http://schemas.openxmlformats.org/officeDocument/2006/relationships/hyperlink" Target="/live_market/dynaContent/live_watch/option_chain/optionDates.jsp?symbol=NIFTY&amp;instrument=OPTIDX&amp;strike=13900.00" TargetMode="External"/><Relationship Id="rId353" Type="http://schemas.openxmlformats.org/officeDocument/2006/relationships/hyperlink" Target="/live_market/dynaContent/live_watch/get_quote/GetQuoteFO.jsp?underlying=NIFTY&amp;instrument=OPTIDX&amp;strike=14100.00&amp;type=PE&amp;expiry=24DEC2020" TargetMode="External"/><Relationship Id="rId374" Type="http://schemas.openxmlformats.org/officeDocument/2006/relationships/hyperlink" Target="/live_market/dynaContent/live_watch/get_quote/GetQuoteFO.jsp?underlying=NIFTY&amp;instrument=OPTIDX&amp;strike=14350.00&amp;type=CE&amp;expiry=24DEC2020" TargetMode="External"/><Relationship Id="rId395" Type="http://schemas.openxmlformats.org/officeDocument/2006/relationships/hyperlink" Target="javascript:chartPopup('NIFTY',%20'OPTIDX',%20'24DEC2020',%20'14600.00','CE','NIFTY%2050');" TargetMode="External"/><Relationship Id="rId409" Type="http://schemas.openxmlformats.org/officeDocument/2006/relationships/hyperlink" Target="/live_market/dynaContent/live_watch/option_chain/optionDates.jsp?symbol=NIFTY&amp;instrument=OPTIDX&amp;strike=14750.00" TargetMode="External"/><Relationship Id="rId71" Type="http://schemas.openxmlformats.org/officeDocument/2006/relationships/hyperlink" Target="/live_market/dynaContent/live_watch/option_chain/optionDates.jsp?symbol=NIFTY&amp;instrument=OPTIDX&amp;strike=11000.00" TargetMode="External"/><Relationship Id="rId92" Type="http://schemas.openxmlformats.org/officeDocument/2006/relationships/hyperlink" Target="/live_market/dynaContent/live_watch/option_chain/optionDates.jsp?symbol=NIFTY&amp;instrument=OPTIDX&amp;strike=11300.00" TargetMode="External"/><Relationship Id="rId213" Type="http://schemas.openxmlformats.org/officeDocument/2006/relationships/hyperlink" Target="/live_market/dynaContent/live_watch/get_quote/GetQuoteFO.jsp?underlying=NIFTY&amp;instrument=OPTIDX&amp;strike=12700.00&amp;type=PE&amp;expiry=24DEC2020" TargetMode="External"/><Relationship Id="rId234" Type="http://schemas.openxmlformats.org/officeDocument/2006/relationships/hyperlink" Target="javascript:chartPopup('NIFTY',%20'OPTIDX',%20'24DEC2020',%20'12900.00','PE','NIFTY%2050');" TargetMode="External"/><Relationship Id="rId420" Type="http://schemas.openxmlformats.org/officeDocument/2006/relationships/hyperlink" Target="/live_market/dynaContent/live_watch/get_quote/GetQuoteFO.jsp?underlying=NIFTY&amp;instrument=OPTIDX&amp;strike=14900.00&amp;type=CE&amp;expiry=24DEC2020" TargetMode="External"/><Relationship Id="rId2" Type="http://schemas.openxmlformats.org/officeDocument/2006/relationships/hyperlink" Target="/live_market/dynaContent/live_watch/get_quote/GetQuoteFO.jsp?underlying=NIFTY&amp;instrument=OPTIDX&amp;strike=10150.00&amp;type=CE&amp;expiry=24DEC2020" TargetMode="External"/><Relationship Id="rId29" Type="http://schemas.openxmlformats.org/officeDocument/2006/relationships/hyperlink" Target="/live_market/dynaContent/live_watch/get_quote/GetQuoteFO.jsp?underlying=NIFTY&amp;instrument=OPTIDX&amp;strike=10450.00&amp;type=PE&amp;expiry=24DEC2020" TargetMode="External"/><Relationship Id="rId255" Type="http://schemas.openxmlformats.org/officeDocument/2006/relationships/hyperlink" Target="javascript:chartPopup('NIFTY',%20'OPTIDX',%20'24DEC2020',%20'13150.00','CE','NIFTY%2050');" TargetMode="External"/><Relationship Id="rId276" Type="http://schemas.openxmlformats.org/officeDocument/2006/relationships/hyperlink" Target="/live_market/dynaContent/live_watch/get_quote/GetQuoteFO.jsp?underlying=NIFTY&amp;instrument=OPTIDX&amp;strike=13350.00&amp;type=CE&amp;expiry=24DEC2020" TargetMode="External"/><Relationship Id="rId297" Type="http://schemas.openxmlformats.org/officeDocument/2006/relationships/hyperlink" Target="/live_market/dynaContent/live_watch/option_chain/optionDates.jsp?symbol=NIFTY&amp;instrument=OPTIDX&amp;strike=13550.00" TargetMode="External"/><Relationship Id="rId441" Type="http://schemas.openxmlformats.org/officeDocument/2006/relationships/hyperlink" Target="/live_market/dynaContent/live_watch/option_chain/optionDates.jsp?symbol=NIFTY&amp;instrument=OPTIDX&amp;strike=15150.00" TargetMode="External"/><Relationship Id="rId40" Type="http://schemas.openxmlformats.org/officeDocument/2006/relationships/hyperlink" Target="/live_market/dynaContent/live_watch/option_chain/optionDates.jsp?symbol=NIFTY&amp;instrument=OPTIDX&amp;strike=10600.00" TargetMode="External"/><Relationship Id="rId115" Type="http://schemas.openxmlformats.org/officeDocument/2006/relationships/hyperlink" Target="javascript:chartPopup('NIFTY',%20'OPTIDX',%20'24DEC2020',%20'11550.00','PE','NIFTY%2050');" TargetMode="External"/><Relationship Id="rId136" Type="http://schemas.openxmlformats.org/officeDocument/2006/relationships/hyperlink" Target="javascript:chartPopup('NIFTY',%20'OPTIDX',%20'24DEC2020',%20'11850.00','CE','NIFTY%2050');" TargetMode="External"/><Relationship Id="rId157" Type="http://schemas.openxmlformats.org/officeDocument/2006/relationships/hyperlink" Target="/live_market/dynaContent/live_watch/option_chain/optionDates.jsp?symbol=NIFTY&amp;instrument=OPTIDX&amp;strike=12100.00" TargetMode="External"/><Relationship Id="rId178" Type="http://schemas.openxmlformats.org/officeDocument/2006/relationships/hyperlink" Target="javascript:chartPopup('NIFTY',%20'OPTIDX',%20'24DEC2020',%20'12350.00','CE','NIFTY%2050');" TargetMode="External"/><Relationship Id="rId301" Type="http://schemas.openxmlformats.org/officeDocument/2006/relationships/hyperlink" Target="/live_market/dynaContent/live_watch/get_quote/GetQuoteFO.jsp?underlying=NIFTY&amp;instrument=OPTIDX&amp;strike=13600.00&amp;type=CE&amp;expiry=24DEC2020" TargetMode="External"/><Relationship Id="rId322" Type="http://schemas.openxmlformats.org/officeDocument/2006/relationships/hyperlink" Target="/live_market/dynaContent/live_watch/option_chain/optionDates.jsp?symbol=NIFTY&amp;instrument=OPTIDX&amp;strike=13800.00" TargetMode="External"/><Relationship Id="rId343" Type="http://schemas.openxmlformats.org/officeDocument/2006/relationships/hyperlink" Target="/live_market/dynaContent/live_watch/get_quote/GetQuoteFO.jsp?underlying=NIFTY&amp;instrument=OPTIDX&amp;strike=14000.00&amp;type=PE&amp;expiry=24DEC2020" TargetMode="External"/><Relationship Id="rId364" Type="http://schemas.openxmlformats.org/officeDocument/2006/relationships/hyperlink" Target="javascript:chartPopup('NIFTY',%20'OPTIDX',%20'24DEC2020',%20'14250.00','CE','NIFTY%2050');" TargetMode="External"/><Relationship Id="rId61" Type="http://schemas.openxmlformats.org/officeDocument/2006/relationships/hyperlink" Target="/live_market/dynaContent/live_watch/get_quote/GetQuoteFO.jsp?underlying=NIFTY&amp;instrument=OPTIDX&amp;strike=10850.00&amp;type=PE&amp;expiry=24DEC2020" TargetMode="External"/><Relationship Id="rId82" Type="http://schemas.openxmlformats.org/officeDocument/2006/relationships/hyperlink" Target="/live_market/dynaContent/live_watch/option_chain/optionDates.jsp?symbol=NIFTY&amp;instrument=OPTIDX&amp;strike=11150.00" TargetMode="External"/><Relationship Id="rId199" Type="http://schemas.openxmlformats.org/officeDocument/2006/relationships/hyperlink" Target="/live_market/dynaContent/live_watch/get_quote/GetQuoteFO.jsp?underlying=NIFTY&amp;instrument=OPTIDX&amp;strike=12550.00&amp;type=PE&amp;expiry=24DEC2020" TargetMode="External"/><Relationship Id="rId203" Type="http://schemas.openxmlformats.org/officeDocument/2006/relationships/hyperlink" Target="/live_market/dynaContent/live_watch/option_chain/optionDates.jsp?symbol=NIFTY&amp;instrument=OPTIDX&amp;strike=12600.00" TargetMode="External"/><Relationship Id="rId385" Type="http://schemas.openxmlformats.org/officeDocument/2006/relationships/hyperlink" Target="javascript:chartPopup('NIFTY',%20'OPTIDX',%20'24DEC2020',%20'14450.00','PE','NIFTY%2050');" TargetMode="External"/><Relationship Id="rId19" Type="http://schemas.openxmlformats.org/officeDocument/2006/relationships/hyperlink" Target="javascript:chartPopup('NIFTY',%20'OPTIDX',%20'24DEC2020',%20'10350.00','CE','NIFTY%2050');" TargetMode="External"/><Relationship Id="rId224" Type="http://schemas.openxmlformats.org/officeDocument/2006/relationships/hyperlink" Target="javascript:chartPopup('NIFTY',%20'OPTIDX',%20'24DEC2020',%20'12800.00','PE','NIFTY%2050');" TargetMode="External"/><Relationship Id="rId245" Type="http://schemas.openxmlformats.org/officeDocument/2006/relationships/hyperlink" Target="javascript:chartPopup('NIFTY',%20'OPTIDX',%20'24DEC2020',%20'13050.00','CE','NIFTY%2050');" TargetMode="External"/><Relationship Id="rId266" Type="http://schemas.openxmlformats.org/officeDocument/2006/relationships/hyperlink" Target="/live_market/dynaContent/live_watch/get_quote/GetQuoteFO.jsp?underlying=NIFTY&amp;instrument=OPTIDX&amp;strike=13250.00&amp;type=CE&amp;expiry=24DEC2020" TargetMode="External"/><Relationship Id="rId287" Type="http://schemas.openxmlformats.org/officeDocument/2006/relationships/hyperlink" Target="/live_market/dynaContent/live_watch/option_chain/optionDates.jsp?symbol=NIFTY&amp;instrument=OPTIDX&amp;strike=13450.00" TargetMode="External"/><Relationship Id="rId410" Type="http://schemas.openxmlformats.org/officeDocument/2006/relationships/hyperlink" Target="javascript:chartPopup('NIFTY',%20'OPTIDX',%20'24DEC2020',%20'14750.00','PE','NIFTY%2050');" TargetMode="External"/><Relationship Id="rId431" Type="http://schemas.openxmlformats.org/officeDocument/2006/relationships/hyperlink" Target="javascript:chartPopup('NIFTY',%20'OPTIDX',%20'24DEC2020',%20'15050.00','CE','NIFTY%2050');" TargetMode="External"/><Relationship Id="rId30" Type="http://schemas.openxmlformats.org/officeDocument/2006/relationships/hyperlink" Target="javascript:chartPopup('NIFTY',%20'OPTIDX',%20'24DEC2020',%20'10450.00','PE','NIFTY%2050');" TargetMode="External"/><Relationship Id="rId105" Type="http://schemas.openxmlformats.org/officeDocument/2006/relationships/hyperlink" Target="/live_market/dynaContent/live_watch/get_quote/GetQuoteFO.jsp?underlying=NIFTY&amp;instrument=OPTIDX&amp;strike=11450.00&amp;type=PE&amp;expiry=24DEC2020" TargetMode="External"/><Relationship Id="rId126" Type="http://schemas.openxmlformats.org/officeDocument/2006/relationships/hyperlink" Target="/live_market/dynaContent/live_watch/get_quote/GetQuoteFO.jsp?underlying=NIFTY&amp;instrument=OPTIDX&amp;strike=11700.00&amp;type=PE&amp;expiry=24DEC2020" TargetMode="External"/><Relationship Id="rId147" Type="http://schemas.openxmlformats.org/officeDocument/2006/relationships/hyperlink" Target="javascript:chartPopup('NIFTY',%20'OPTIDX',%20'24DEC2020',%20'12000.00','CE','NIFTY%2050');" TargetMode="External"/><Relationship Id="rId168" Type="http://schemas.openxmlformats.org/officeDocument/2006/relationships/hyperlink" Target="javascript:chartPopup('NIFTY',%20'OPTIDX',%20'24DEC2020',%20'12200.00','PE','NIFTY%2050');" TargetMode="External"/><Relationship Id="rId312" Type="http://schemas.openxmlformats.org/officeDocument/2006/relationships/hyperlink" Target="/live_market/dynaContent/live_watch/option_chain/optionDates.jsp?symbol=NIFTY&amp;instrument=OPTIDX&amp;strike=13700.00" TargetMode="External"/><Relationship Id="rId333" Type="http://schemas.openxmlformats.org/officeDocument/2006/relationships/hyperlink" Target="/live_market/dynaContent/live_watch/get_quote/GetQuoteFO.jsp?underlying=NIFTY&amp;instrument=OPTIDX&amp;strike=13900.00&amp;type=PE&amp;expiry=24DEC2020" TargetMode="External"/><Relationship Id="rId354" Type="http://schemas.openxmlformats.org/officeDocument/2006/relationships/hyperlink" Target="javascript:chartPopup('NIFTY',%20'OPTIDX',%20'24DEC2020',%20'14100.00','PE','NIFTY%2050');" TargetMode="External"/><Relationship Id="rId51" Type="http://schemas.openxmlformats.org/officeDocument/2006/relationships/hyperlink" Target="javascript:chartPopup('NIFTY',%20'OPTIDX',%20'24DEC2020',%20'10750.00','CE','NIFTY%2050');" TargetMode="External"/><Relationship Id="rId72" Type="http://schemas.openxmlformats.org/officeDocument/2006/relationships/hyperlink" Target="/live_market/dynaContent/live_watch/get_quote/GetQuoteFO.jsp?underlying=NIFTY&amp;instrument=OPTIDX&amp;strike=11000.00&amp;type=PE&amp;expiry=24DEC2020" TargetMode="External"/><Relationship Id="rId93" Type="http://schemas.openxmlformats.org/officeDocument/2006/relationships/hyperlink" Target="/live_market/dynaContent/live_watch/get_quote/GetQuoteFO.jsp?underlying=NIFTY&amp;instrument=OPTIDX&amp;strike=11300.00&amp;type=PE&amp;expiry=24DEC2020" TargetMode="External"/><Relationship Id="rId189" Type="http://schemas.openxmlformats.org/officeDocument/2006/relationships/hyperlink" Target="/live_market/dynaContent/live_watch/option_chain/optionDates.jsp?symbol=NIFTY&amp;instrument=OPTIDX&amp;strike=12450.00" TargetMode="External"/><Relationship Id="rId375" Type="http://schemas.openxmlformats.org/officeDocument/2006/relationships/hyperlink" Target="/live_market/dynaContent/live_watch/option_chain/optionDates.jsp?symbol=NIFTY&amp;instrument=OPTIDX&amp;strike=14350.00" TargetMode="External"/><Relationship Id="rId396" Type="http://schemas.openxmlformats.org/officeDocument/2006/relationships/hyperlink" Target="/live_market/dynaContent/live_watch/get_quote/GetQuoteFO.jsp?underlying=NIFTY&amp;instrument=OPTIDX&amp;strike=14600.00&amp;type=CE&amp;expiry=24DEC2020" TargetMode="External"/><Relationship Id="rId3" Type="http://schemas.openxmlformats.org/officeDocument/2006/relationships/hyperlink" Target="/live_market/dynaContent/live_watch/option_chain/optionDates.jsp?symbol=NIFTY&amp;instrument=OPTIDX&amp;strike=10150.00" TargetMode="External"/><Relationship Id="rId214" Type="http://schemas.openxmlformats.org/officeDocument/2006/relationships/hyperlink" Target="javascript:chartPopup('NIFTY',%20'OPTIDX',%20'24DEC2020',%20'12700.00','PE','NIFTY%2050');" TargetMode="External"/><Relationship Id="rId235" Type="http://schemas.openxmlformats.org/officeDocument/2006/relationships/hyperlink" Target="javascript:chartPopup('NIFTY',%20'OPTIDX',%20'24DEC2020',%20'12950.00','CE','NIFTY%2050');" TargetMode="External"/><Relationship Id="rId256" Type="http://schemas.openxmlformats.org/officeDocument/2006/relationships/hyperlink" Target="/live_market/dynaContent/live_watch/get_quote/GetQuoteFO.jsp?underlying=NIFTY&amp;instrument=OPTIDX&amp;strike=13150.00&amp;type=CE&amp;expiry=24DEC2020" TargetMode="External"/><Relationship Id="rId277" Type="http://schemas.openxmlformats.org/officeDocument/2006/relationships/hyperlink" Target="/live_market/dynaContent/live_watch/option_chain/optionDates.jsp?symbol=NIFTY&amp;instrument=OPTIDX&amp;strike=13350.00" TargetMode="External"/><Relationship Id="rId298" Type="http://schemas.openxmlformats.org/officeDocument/2006/relationships/hyperlink" Target="/live_market/dynaContent/live_watch/get_quote/GetQuoteFO.jsp?underlying=NIFTY&amp;instrument=OPTIDX&amp;strike=13550.00&amp;type=PE&amp;expiry=24DEC2020" TargetMode="External"/><Relationship Id="rId400" Type="http://schemas.openxmlformats.org/officeDocument/2006/relationships/hyperlink" Target="/live_market/dynaContent/live_watch/get_quote/GetQuoteFO.jsp?underlying=NIFTY&amp;instrument=OPTIDX&amp;strike=14650.00&amp;type=CE&amp;expiry=24DEC2020" TargetMode="External"/><Relationship Id="rId421" Type="http://schemas.openxmlformats.org/officeDocument/2006/relationships/hyperlink" Target="/live_market/dynaContent/live_watch/option_chain/optionDates.jsp?symbol=NIFTY&amp;instrument=OPTIDX&amp;strike=14900.00" TargetMode="External"/><Relationship Id="rId442" Type="http://schemas.openxmlformats.org/officeDocument/2006/relationships/hyperlink" Target="javascript:chartPopup('NIFTY',%20'OPTIDX',%20'24DEC2020',%20'15150.00','PE','NIFTY%2050');" TargetMode="External"/><Relationship Id="rId116" Type="http://schemas.openxmlformats.org/officeDocument/2006/relationships/hyperlink" Target="javascript:chartPopup('NIFTY',%20'OPTIDX',%20'24DEC2020',%20'11600.00','CE','NIFTY%2050');" TargetMode="External"/><Relationship Id="rId137" Type="http://schemas.openxmlformats.org/officeDocument/2006/relationships/hyperlink" Target="/live_market/dynaContent/live_watch/option_chain/optionDates.jsp?symbol=NIFTY&amp;instrument=OPTIDX&amp;strike=11850.00" TargetMode="External"/><Relationship Id="rId158" Type="http://schemas.openxmlformats.org/officeDocument/2006/relationships/hyperlink" Target="/live_market/dynaContent/live_watch/get_quote/GetQuoteFO.jsp?underlying=NIFTY&amp;instrument=OPTIDX&amp;strike=12100.00&amp;type=PE&amp;expiry=24DEC2020" TargetMode="External"/><Relationship Id="rId302" Type="http://schemas.openxmlformats.org/officeDocument/2006/relationships/hyperlink" Target="/live_market/dynaContent/live_watch/option_chain/optionDates.jsp?symbol=NIFTY&amp;instrument=OPTIDX&amp;strike=13600.00" TargetMode="External"/><Relationship Id="rId323" Type="http://schemas.openxmlformats.org/officeDocument/2006/relationships/hyperlink" Target="/live_market/dynaContent/live_watch/get_quote/GetQuoteFO.jsp?underlying=NIFTY&amp;instrument=OPTIDX&amp;strike=13800.00&amp;type=PE&amp;expiry=24DEC2020" TargetMode="External"/><Relationship Id="rId344" Type="http://schemas.openxmlformats.org/officeDocument/2006/relationships/hyperlink" Target="javascript:chartPopup('NIFTY',%20'OPTIDX',%20'24DEC2020',%20'14000.00','PE','NIFTY%2050');" TargetMode="External"/><Relationship Id="rId20" Type="http://schemas.openxmlformats.org/officeDocument/2006/relationships/hyperlink" Target="/live_market/dynaContent/live_watch/option_chain/optionDates.jsp?symbol=NIFTY&amp;instrument=OPTIDX&amp;strike=10350.00" TargetMode="External"/><Relationship Id="rId41" Type="http://schemas.openxmlformats.org/officeDocument/2006/relationships/hyperlink" Target="/live_market/dynaContent/live_watch/get_quote/GetQuoteFO.jsp?underlying=NIFTY&amp;instrument=OPTIDX&amp;strike=10600.00&amp;type=PE&amp;expiry=24DEC2020" TargetMode="External"/><Relationship Id="rId62" Type="http://schemas.openxmlformats.org/officeDocument/2006/relationships/hyperlink" Target="javascript:chartPopup('NIFTY',%20'OPTIDX',%20'24DEC2020',%20'10850.00','PE','NIFTY%2050');" TargetMode="External"/><Relationship Id="rId83" Type="http://schemas.openxmlformats.org/officeDocument/2006/relationships/hyperlink" Target="javascript:chartPopup('NIFTY',%20'OPTIDX',%20'24DEC2020',%20'11150.00','PE','NIFTY%2050');" TargetMode="External"/><Relationship Id="rId179" Type="http://schemas.openxmlformats.org/officeDocument/2006/relationships/hyperlink" Target="/live_market/dynaContent/live_watch/option_chain/optionDates.jsp?symbol=NIFTY&amp;instrument=OPTIDX&amp;strike=12350.00" TargetMode="External"/><Relationship Id="rId365" Type="http://schemas.openxmlformats.org/officeDocument/2006/relationships/hyperlink" Target="/live_market/dynaContent/live_watch/get_quote/GetQuoteFO.jsp?underlying=NIFTY&amp;instrument=OPTIDX&amp;strike=14250.00&amp;type=CE&amp;expiry=24DEC2020" TargetMode="External"/><Relationship Id="rId386" Type="http://schemas.openxmlformats.org/officeDocument/2006/relationships/hyperlink" Target="javascript:chartPopup('NIFTY',%20'OPTIDX',%20'24DEC2020',%20'14500.00','CE','NIFTY%2050');" TargetMode="External"/><Relationship Id="rId190" Type="http://schemas.openxmlformats.org/officeDocument/2006/relationships/hyperlink" Target="/live_market/dynaContent/live_watch/get_quote/GetQuoteFO.jsp?underlying=NIFTY&amp;instrument=OPTIDX&amp;strike=12450.00&amp;type=PE&amp;expiry=24DEC2020" TargetMode="External"/><Relationship Id="rId204" Type="http://schemas.openxmlformats.org/officeDocument/2006/relationships/hyperlink" Target="/live_market/dynaContent/live_watch/get_quote/GetQuoteFO.jsp?underlying=NIFTY&amp;instrument=OPTIDX&amp;strike=12600.00&amp;type=PE&amp;expiry=24DEC2020" TargetMode="External"/><Relationship Id="rId225" Type="http://schemas.openxmlformats.org/officeDocument/2006/relationships/hyperlink" Target="javascript:chartPopup('NIFTY',%20'OPTIDX',%20'24DEC2020',%20'12850.00','CE','NIFTY%2050');" TargetMode="External"/><Relationship Id="rId246" Type="http://schemas.openxmlformats.org/officeDocument/2006/relationships/hyperlink" Target="/live_market/dynaContent/live_watch/get_quote/GetQuoteFO.jsp?underlying=NIFTY&amp;instrument=OPTIDX&amp;strike=13050.00&amp;type=CE&amp;expiry=24DEC2020" TargetMode="External"/><Relationship Id="rId267" Type="http://schemas.openxmlformats.org/officeDocument/2006/relationships/hyperlink" Target="/live_market/dynaContent/live_watch/option_chain/optionDates.jsp?symbol=NIFTY&amp;instrument=OPTIDX&amp;strike=13250.00" TargetMode="External"/><Relationship Id="rId288" Type="http://schemas.openxmlformats.org/officeDocument/2006/relationships/hyperlink" Target="/live_market/dynaContent/live_watch/get_quote/GetQuoteFO.jsp?underlying=NIFTY&amp;instrument=OPTIDX&amp;strike=13450.00&amp;type=PE&amp;expiry=24DEC2020" TargetMode="External"/><Relationship Id="rId411" Type="http://schemas.openxmlformats.org/officeDocument/2006/relationships/hyperlink" Target="javascript:chartPopup('NIFTY',%20'OPTIDX',%20'24DEC2020',%20'14800.00','CE','NIFTY%2050');" TargetMode="External"/><Relationship Id="rId432" Type="http://schemas.openxmlformats.org/officeDocument/2006/relationships/hyperlink" Target="/live_market/dynaContent/live_watch/get_quote/GetQuoteFO.jsp?underlying=NIFTY&amp;instrument=OPTIDX&amp;strike=15050.00&amp;type=CE&amp;expiry=24DEC2020" TargetMode="External"/><Relationship Id="rId106" Type="http://schemas.openxmlformats.org/officeDocument/2006/relationships/hyperlink" Target="javascript:chartPopup('NIFTY',%20'OPTIDX',%20'24DEC2020',%20'11450.00','PE','NIFTY%2050');" TargetMode="External"/><Relationship Id="rId127" Type="http://schemas.openxmlformats.org/officeDocument/2006/relationships/hyperlink" Target="javascript:chartPopup('NIFTY',%20'OPTIDX',%20'24DEC2020',%20'11700.00','PE','NIFTY%2050');" TargetMode="External"/><Relationship Id="rId313" Type="http://schemas.openxmlformats.org/officeDocument/2006/relationships/hyperlink" Target="/live_market/dynaContent/live_watch/get_quote/GetQuoteFO.jsp?underlying=NIFTY&amp;instrument=OPTIDX&amp;strike=13700.00&amp;type=PE&amp;expiry=24DEC2020" TargetMode="External"/><Relationship Id="rId10" Type="http://schemas.openxmlformats.org/officeDocument/2006/relationships/hyperlink" Target="javascript:chartPopup('NIFTY',%20'OPTIDX',%20'24DEC2020',%20'10200.00','PE','NIFTY%2050');" TargetMode="External"/><Relationship Id="rId31" Type="http://schemas.openxmlformats.org/officeDocument/2006/relationships/hyperlink" Target="javascript:chartPopup('NIFTY',%20'OPTIDX',%20'24DEC2020',%20'10500.00','CE','NIFTY%2050');" TargetMode="External"/><Relationship Id="rId52" Type="http://schemas.openxmlformats.org/officeDocument/2006/relationships/hyperlink" Target="/live_market/dynaContent/live_watch/option_chain/optionDates.jsp?symbol=NIFTY&amp;instrument=OPTIDX&amp;strike=10750.00" TargetMode="External"/><Relationship Id="rId73" Type="http://schemas.openxmlformats.org/officeDocument/2006/relationships/hyperlink" Target="javascript:chartPopup('NIFTY',%20'OPTIDX',%20'24DEC2020',%20'11000.00','PE','NIFTY%2050');" TargetMode="External"/><Relationship Id="rId94" Type="http://schemas.openxmlformats.org/officeDocument/2006/relationships/hyperlink" Target="javascript:chartPopup('NIFTY',%20'OPTIDX',%20'24DEC2020',%20'11300.00','PE','NIFTY%2050');" TargetMode="External"/><Relationship Id="rId148" Type="http://schemas.openxmlformats.org/officeDocument/2006/relationships/hyperlink" Target="/live_market/dynaContent/live_watch/get_quote/GetQuoteFO.jsp?underlying=NIFTY&amp;instrument=OPTIDX&amp;strike=12000.00&amp;type=CE&amp;expiry=24DEC2020" TargetMode="External"/><Relationship Id="rId169" Type="http://schemas.openxmlformats.org/officeDocument/2006/relationships/hyperlink" Target="javascript:chartPopup('NIFTY',%20'OPTIDX',%20'24DEC2020',%20'12250.00','CE','NIFTY%2050');" TargetMode="External"/><Relationship Id="rId334" Type="http://schemas.openxmlformats.org/officeDocument/2006/relationships/hyperlink" Target="javascript:chartPopup('NIFTY',%20'OPTIDX',%20'24DEC2020',%20'13900.00','PE','NIFTY%2050');" TargetMode="External"/><Relationship Id="rId355" Type="http://schemas.openxmlformats.org/officeDocument/2006/relationships/hyperlink" Target="javascript:chartPopup('NIFTY',%20'OPTIDX',%20'24DEC2020',%20'14150.00','CE','NIFTY%2050');" TargetMode="External"/><Relationship Id="rId376" Type="http://schemas.openxmlformats.org/officeDocument/2006/relationships/hyperlink" Target="javascript:chartPopup('NIFTY',%20'OPTIDX',%20'24DEC2020',%20'14350.00','PE','NIFTY%2050');" TargetMode="External"/><Relationship Id="rId397" Type="http://schemas.openxmlformats.org/officeDocument/2006/relationships/hyperlink" Target="/live_market/dynaContent/live_watch/option_chain/optionDates.jsp?symbol=NIFTY&amp;instrument=OPTIDX&amp;strike=14600.00" TargetMode="External"/><Relationship Id="rId4" Type="http://schemas.openxmlformats.org/officeDocument/2006/relationships/hyperlink" Target="/live_market/dynaContent/live_watch/get_quote/GetQuoteFO.jsp?underlying=NIFTY&amp;instrument=OPTIDX&amp;strike=10150.00&amp;type=PE&amp;expiry=24DEC2020" TargetMode="External"/><Relationship Id="rId180" Type="http://schemas.openxmlformats.org/officeDocument/2006/relationships/hyperlink" Target="/live_market/dynaContent/live_watch/get_quote/GetQuoteFO.jsp?underlying=NIFTY&amp;instrument=OPTIDX&amp;strike=12350.00&amp;type=PE&amp;expiry=24DEC2020" TargetMode="External"/><Relationship Id="rId215" Type="http://schemas.openxmlformats.org/officeDocument/2006/relationships/hyperlink" Target="javascript:chartPopup('NIFTY',%20'OPTIDX',%20'24DEC2020',%20'12750.00','CE','NIFTY%2050');" TargetMode="External"/><Relationship Id="rId236" Type="http://schemas.openxmlformats.org/officeDocument/2006/relationships/hyperlink" Target="/live_market/dynaContent/live_watch/get_quote/GetQuoteFO.jsp?underlying=NIFTY&amp;instrument=OPTIDX&amp;strike=12950.00&amp;type=CE&amp;expiry=24DEC2020" TargetMode="External"/><Relationship Id="rId257" Type="http://schemas.openxmlformats.org/officeDocument/2006/relationships/hyperlink" Target="/live_market/dynaContent/live_watch/option_chain/optionDates.jsp?symbol=NIFTY&amp;instrument=OPTIDX&amp;strike=13150.00" TargetMode="External"/><Relationship Id="rId278" Type="http://schemas.openxmlformats.org/officeDocument/2006/relationships/hyperlink" Target="/live_market/dynaContent/live_watch/get_quote/GetQuoteFO.jsp?underlying=NIFTY&amp;instrument=OPTIDX&amp;strike=13350.00&amp;type=PE&amp;expiry=24DEC2020" TargetMode="External"/><Relationship Id="rId401" Type="http://schemas.openxmlformats.org/officeDocument/2006/relationships/hyperlink" Target="/live_market/dynaContent/live_watch/option_chain/optionDates.jsp?symbol=NIFTY&amp;instrument=OPTIDX&amp;strike=14650.00" TargetMode="External"/><Relationship Id="rId422" Type="http://schemas.openxmlformats.org/officeDocument/2006/relationships/hyperlink" Target="javascript:chartPopup('NIFTY',%20'OPTIDX',%20'24DEC2020',%20'14900.00','PE','NIFTY%2050');" TargetMode="External"/><Relationship Id="rId443" Type="http://schemas.openxmlformats.org/officeDocument/2006/relationships/hyperlink" Target="javascript:chartPopup('NIFTY',%20'OPTIDX',%20'24DEC2020',%20'15200.00','CE','NIFTY%2050');" TargetMode="External"/><Relationship Id="rId303" Type="http://schemas.openxmlformats.org/officeDocument/2006/relationships/hyperlink" Target="/live_market/dynaContent/live_watch/get_quote/GetQuoteFO.jsp?underlying=NIFTY&amp;instrument=OPTIDX&amp;strike=13600.00&amp;type=PE&amp;expiry=24DEC2020" TargetMode="External"/><Relationship Id="rId42" Type="http://schemas.openxmlformats.org/officeDocument/2006/relationships/hyperlink" Target="javascript:chartPopup('NIFTY',%20'OPTIDX',%20'24DEC2020',%20'10600.00','PE','NIFTY%2050');" TargetMode="External"/><Relationship Id="rId84" Type="http://schemas.openxmlformats.org/officeDocument/2006/relationships/hyperlink" Target="javascript:chartPopup('NIFTY',%20'OPTIDX',%20'24DEC2020',%20'11200.00','CE','NIFTY%2050');" TargetMode="External"/><Relationship Id="rId138" Type="http://schemas.openxmlformats.org/officeDocument/2006/relationships/hyperlink" Target="/live_market/dynaContent/live_watch/get_quote/GetQuoteFO.jsp?underlying=NIFTY&amp;instrument=OPTIDX&amp;strike=11850.00&amp;type=PE&amp;expiry=24DEC2020" TargetMode="External"/><Relationship Id="rId345" Type="http://schemas.openxmlformats.org/officeDocument/2006/relationships/hyperlink" Target="javascript:chartPopup('NIFTY',%20'OPTIDX',%20'24DEC2020',%20'14050.00','CE','NIFTY%2050');" TargetMode="External"/><Relationship Id="rId387" Type="http://schemas.openxmlformats.org/officeDocument/2006/relationships/hyperlink" Target="/live_market/dynaContent/live_watch/get_quote/GetQuoteFO.jsp?underlying=NIFTY&amp;instrument=OPTIDX&amp;strike=14500.00&amp;type=CE&amp;expiry=24DEC2020" TargetMode="External"/><Relationship Id="rId191" Type="http://schemas.openxmlformats.org/officeDocument/2006/relationships/hyperlink" Target="javascript:chartPopup('NIFTY',%20'OPTIDX',%20'24DEC2020',%20'12450.00','PE','NIFTY%2050');" TargetMode="External"/><Relationship Id="rId205" Type="http://schemas.openxmlformats.org/officeDocument/2006/relationships/hyperlink" Target="javascript:chartPopup('NIFTY',%20'OPTIDX',%20'24DEC2020',%20'12600.00','PE','NIFTY%2050');" TargetMode="External"/><Relationship Id="rId247" Type="http://schemas.openxmlformats.org/officeDocument/2006/relationships/hyperlink" Target="/live_market/dynaContent/live_watch/option_chain/optionDates.jsp?symbol=NIFTY&amp;instrument=OPTIDX&amp;strike=13050.00" TargetMode="External"/><Relationship Id="rId412" Type="http://schemas.openxmlformats.org/officeDocument/2006/relationships/hyperlink" Target="/live_market/dynaContent/live_watch/get_quote/GetQuoteFO.jsp?underlying=NIFTY&amp;instrument=OPTIDX&amp;strike=14800.00&amp;type=CE&amp;expiry=24DEC2020" TargetMode="External"/><Relationship Id="rId107" Type="http://schemas.openxmlformats.org/officeDocument/2006/relationships/hyperlink" Target="javascript:chartPopup('NIFTY',%20'OPTIDX',%20'24DEC2020',%20'11500.00','CE','NIFTY%2050');" TargetMode="External"/><Relationship Id="rId289" Type="http://schemas.openxmlformats.org/officeDocument/2006/relationships/hyperlink" Target="javascript:chartPopup('NIFTY',%20'OPTIDX',%20'24DEC2020',%20'13450.00','PE','NIFTY%2050');" TargetMode="External"/><Relationship Id="rId11" Type="http://schemas.openxmlformats.org/officeDocument/2006/relationships/hyperlink" Target="javascript:chartPopup('NIFTY',%20'OPTIDX',%20'24DEC2020',%20'10250.00','CE','NIFTY%2050');" TargetMode="External"/><Relationship Id="rId53" Type="http://schemas.openxmlformats.org/officeDocument/2006/relationships/hyperlink" Target="/live_market/dynaContent/live_watch/get_quote/GetQuoteFO.jsp?underlying=NIFTY&amp;instrument=OPTIDX&amp;strike=10750.00&amp;type=PE&amp;expiry=24DEC2020" TargetMode="External"/><Relationship Id="rId149" Type="http://schemas.openxmlformats.org/officeDocument/2006/relationships/hyperlink" Target="/live_market/dynaContent/live_watch/option_chain/optionDates.jsp?symbol=NIFTY&amp;instrument=OPTIDX&amp;strike=12000.00" TargetMode="External"/><Relationship Id="rId314" Type="http://schemas.openxmlformats.org/officeDocument/2006/relationships/hyperlink" Target="javascript:chartPopup('NIFTY',%20'OPTIDX',%20'24DEC2020',%20'13700.00','PE','NIFTY%2050');" TargetMode="External"/><Relationship Id="rId356" Type="http://schemas.openxmlformats.org/officeDocument/2006/relationships/hyperlink" Target="/live_market/dynaContent/live_watch/get_quote/GetQuoteFO.jsp?underlying=NIFTY&amp;instrument=OPTIDX&amp;strike=14150.00&amp;type=CE&amp;expiry=24DEC2020" TargetMode="External"/><Relationship Id="rId398" Type="http://schemas.openxmlformats.org/officeDocument/2006/relationships/hyperlink" Target="javascript:chartPopup('NIFTY',%20'OPTIDX',%20'24DEC2020',%20'14600.00','PE','NIFTY%2050');" TargetMode="External"/><Relationship Id="rId95" Type="http://schemas.openxmlformats.org/officeDocument/2006/relationships/hyperlink" Target="javascript:chartPopup('NIFTY',%20'OPTIDX',%20'24DEC2020',%20'11350.00','CE','NIFTY%2050');" TargetMode="External"/><Relationship Id="rId160" Type="http://schemas.openxmlformats.org/officeDocument/2006/relationships/hyperlink" Target="javascript:chartPopup('NIFTY',%20'OPTIDX',%20'24DEC2020',%20'12150.00','CE','NIFTY%2050');" TargetMode="External"/><Relationship Id="rId216" Type="http://schemas.openxmlformats.org/officeDocument/2006/relationships/hyperlink" Target="/live_market/dynaContent/live_watch/get_quote/GetQuoteFO.jsp?underlying=NIFTY&amp;instrument=OPTIDX&amp;strike=12750.00&amp;type=CE&amp;expiry=24DEC2020" TargetMode="External"/><Relationship Id="rId423" Type="http://schemas.openxmlformats.org/officeDocument/2006/relationships/hyperlink" Target="javascript:chartPopup('NIFTY',%20'OPTIDX',%20'24DEC2020',%20'14950.00','CE','NIFTY%2050');" TargetMode="External"/><Relationship Id="rId258" Type="http://schemas.openxmlformats.org/officeDocument/2006/relationships/hyperlink" Target="/live_market/dynaContent/live_watch/get_quote/GetQuoteFO.jsp?underlying=NIFTY&amp;instrument=OPTIDX&amp;strike=13150.00&amp;type=PE&amp;expiry=24DEC2020" TargetMode="External"/><Relationship Id="rId22" Type="http://schemas.openxmlformats.org/officeDocument/2006/relationships/hyperlink" Target="javascript:chartPopup('NIFTY',%20'OPTIDX',%20'24DEC2020',%20'10350.00','PE','NIFTY%2050');" TargetMode="External"/><Relationship Id="rId64" Type="http://schemas.openxmlformats.org/officeDocument/2006/relationships/hyperlink" Target="/live_market/dynaContent/live_watch/option_chain/optionDates.jsp?symbol=NIFTY&amp;instrument=OPTIDX&amp;strike=10900.00" TargetMode="External"/><Relationship Id="rId118" Type="http://schemas.openxmlformats.org/officeDocument/2006/relationships/hyperlink" Target="/live_market/dynaContent/live_watch/get_quote/GetQuoteFO.jsp?underlying=NIFTY&amp;instrument=OPTIDX&amp;strike=11600.00&amp;type=PE&amp;expiry=24DEC2020" TargetMode="External"/><Relationship Id="rId325" Type="http://schemas.openxmlformats.org/officeDocument/2006/relationships/hyperlink" Target="javascript:chartPopup('NIFTY',%20'OPTIDX',%20'24DEC2020',%20'13850.00','CE','NIFTY%2050');" TargetMode="External"/><Relationship Id="rId367" Type="http://schemas.openxmlformats.org/officeDocument/2006/relationships/hyperlink" Target="javascript:chartPopup('NIFTY',%20'OPTIDX',%20'24DEC2020',%20'14250.00','PE','NIFTY%2050');" TargetMode="External"/><Relationship Id="rId171" Type="http://schemas.openxmlformats.org/officeDocument/2006/relationships/hyperlink" Target="/live_market/dynaContent/live_watch/get_quote/GetQuoteFO.jsp?underlying=NIFTY&amp;instrument=OPTIDX&amp;strike=12250.00&amp;type=PE&amp;expiry=24DEC2020" TargetMode="External"/><Relationship Id="rId227" Type="http://schemas.openxmlformats.org/officeDocument/2006/relationships/hyperlink" Target="/live_market/dynaContent/live_watch/option_chain/optionDates.jsp?symbol=NIFTY&amp;instrument=OPTIDX&amp;strike=12850.00" TargetMode="External"/><Relationship Id="rId269" Type="http://schemas.openxmlformats.org/officeDocument/2006/relationships/hyperlink" Target="javascript:chartPopup('NIFTY',%20'OPTIDX',%20'24DEC2020',%20'13250.00','PE','NIFTY%2050');" TargetMode="External"/><Relationship Id="rId434" Type="http://schemas.openxmlformats.org/officeDocument/2006/relationships/hyperlink" Target="javascript:chartPopup('NIFTY',%20'OPTIDX',%20'24DEC2020',%20'15050.00','PE','NIFTY%2050');" TargetMode="External"/><Relationship Id="rId33" Type="http://schemas.openxmlformats.org/officeDocument/2006/relationships/hyperlink" Target="/live_market/dynaContent/live_watch/get_quote/GetQuoteFO.jsp?underlying=NIFTY&amp;instrument=OPTIDX&amp;strike=10500.00&amp;type=PE&amp;expiry=24DEC2020" TargetMode="External"/><Relationship Id="rId129" Type="http://schemas.openxmlformats.org/officeDocument/2006/relationships/hyperlink" Target="/live_market/dynaContent/live_watch/option_chain/optionDates.jsp?symbol=NIFTY&amp;instrument=OPTIDX&amp;strike=11750.00" TargetMode="External"/><Relationship Id="rId280" Type="http://schemas.openxmlformats.org/officeDocument/2006/relationships/hyperlink" Target="javascript:chartPopup('NIFTY',%20'OPTIDX',%20'24DEC2020',%20'13400.00','CE','NIFTY%2050');" TargetMode="External"/><Relationship Id="rId336" Type="http://schemas.openxmlformats.org/officeDocument/2006/relationships/hyperlink" Target="/live_market/dynaContent/live_watch/get_quote/GetQuoteFO.jsp?underlying=NIFTY&amp;instrument=OPTIDX&amp;strike=13950.00&amp;type=CE&amp;expiry=24DEC2020" TargetMode="External"/><Relationship Id="rId75" Type="http://schemas.openxmlformats.org/officeDocument/2006/relationships/hyperlink" Target="/live_market/dynaContent/live_watch/option_chain/optionDates.jsp?symbol=NIFTY&amp;instrument=OPTIDX&amp;strike=11050.00" TargetMode="External"/><Relationship Id="rId140" Type="http://schemas.openxmlformats.org/officeDocument/2006/relationships/hyperlink" Target="javascript:chartPopup('NIFTY',%20'OPTIDX',%20'24DEC2020',%20'11900.00','CE','NIFTY%2050');" TargetMode="External"/><Relationship Id="rId182" Type="http://schemas.openxmlformats.org/officeDocument/2006/relationships/hyperlink" Target="javascript:chartPopup('NIFTY',%20'OPTIDX',%20'24DEC2020',%20'12400.00','CE','NIFTY%2050');" TargetMode="External"/><Relationship Id="rId378" Type="http://schemas.openxmlformats.org/officeDocument/2006/relationships/hyperlink" Target="/live_market/dynaContent/live_watch/get_quote/GetQuoteFO.jsp?underlying=NIFTY&amp;instrument=OPTIDX&amp;strike=14400.00&amp;type=CE&amp;expiry=24DEC2020" TargetMode="External"/><Relationship Id="rId403" Type="http://schemas.openxmlformats.org/officeDocument/2006/relationships/hyperlink" Target="javascript:chartPopup('NIFTY',%20'OPTIDX',%20'24DEC2020',%20'14700.00','CE','NIFTY%2050');" TargetMode="External"/><Relationship Id="rId6" Type="http://schemas.openxmlformats.org/officeDocument/2006/relationships/hyperlink" Target="javascript:chartPopup('NIFTY',%20'OPTIDX',%20'24DEC2020',%20'10200.00','CE','NIFTY%2050');" TargetMode="External"/><Relationship Id="rId238" Type="http://schemas.openxmlformats.org/officeDocument/2006/relationships/hyperlink" Target="/live_market/dynaContent/live_watch/get_quote/GetQuoteFO.jsp?underlying=NIFTY&amp;instrument=OPTIDX&amp;strike=12950.00&amp;type=PE&amp;expiry=24DEC2020" TargetMode="External"/><Relationship Id="rId445" Type="http://schemas.openxmlformats.org/officeDocument/2006/relationships/hyperlink" Target="/live_market/dynaContent/live_watch/option_chain/optionDates.jsp?symbol=NIFTY&amp;instrument=OPTIDX&amp;strike=15200.00" TargetMode="External"/><Relationship Id="rId291" Type="http://schemas.openxmlformats.org/officeDocument/2006/relationships/hyperlink" Target="/live_market/dynaContent/live_watch/get_quote/GetQuoteFO.jsp?underlying=NIFTY&amp;instrument=OPTIDX&amp;strike=13500.00&amp;type=CE&amp;expiry=24DEC2020" TargetMode="External"/><Relationship Id="rId305" Type="http://schemas.openxmlformats.org/officeDocument/2006/relationships/hyperlink" Target="javascript:chartPopup('NIFTY',%20'OPTIDX',%20'24DEC2020',%20'13650.00','CE','NIFTY%2050');" TargetMode="External"/><Relationship Id="rId347" Type="http://schemas.openxmlformats.org/officeDocument/2006/relationships/hyperlink" Target="/live_market/dynaContent/live_watch/option_chain/optionDates.jsp?symbol=NIFTY&amp;instrument=OPTIDX&amp;strike=14050.00" TargetMode="External"/><Relationship Id="rId44" Type="http://schemas.openxmlformats.org/officeDocument/2006/relationships/hyperlink" Target="/live_market/dynaContent/live_watch/option_chain/optionDates.jsp?symbol=NIFTY&amp;instrument=OPTIDX&amp;strike=10650.00" TargetMode="External"/><Relationship Id="rId86" Type="http://schemas.openxmlformats.org/officeDocument/2006/relationships/hyperlink" Target="/live_market/dynaContent/live_watch/get_quote/GetQuoteFO.jsp?underlying=NIFTY&amp;instrument=OPTIDX&amp;strike=11200.00&amp;type=PE&amp;expiry=24DEC2020" TargetMode="External"/><Relationship Id="rId151" Type="http://schemas.openxmlformats.org/officeDocument/2006/relationships/hyperlink" Target="javascript:chartPopup('NIFTY',%20'OPTIDX',%20'24DEC2020',%20'12000.00','PE','NIFTY%2050');" TargetMode="External"/><Relationship Id="rId389" Type="http://schemas.openxmlformats.org/officeDocument/2006/relationships/hyperlink" Target="/live_market/dynaContent/live_watch/get_quote/GetQuoteFO.jsp?underlying=NIFTY&amp;instrument=OPTIDX&amp;strike=14500.00&amp;type=PE&amp;expiry=24DEC2020" TargetMode="External"/><Relationship Id="rId193" Type="http://schemas.openxmlformats.org/officeDocument/2006/relationships/hyperlink" Target="/live_market/dynaContent/live_watch/get_quote/GetQuoteFO.jsp?underlying=NIFTY&amp;instrument=OPTIDX&amp;strike=12500.00&amp;type=CE&amp;expiry=24DEC2020" TargetMode="External"/><Relationship Id="rId207" Type="http://schemas.openxmlformats.org/officeDocument/2006/relationships/hyperlink" Target="/live_market/dynaContent/live_watch/option_chain/optionDates.jsp?symbol=NIFTY&amp;instrument=OPTIDX&amp;strike=12650.00" TargetMode="External"/><Relationship Id="rId249" Type="http://schemas.openxmlformats.org/officeDocument/2006/relationships/hyperlink" Target="javascript:chartPopup('NIFTY',%20'OPTIDX',%20'24DEC2020',%20'13050.00','PE','NIFTY%2050');" TargetMode="External"/><Relationship Id="rId414" Type="http://schemas.openxmlformats.org/officeDocument/2006/relationships/hyperlink" Target="javascript:chartPopup('NIFTY',%20'OPTIDX',%20'24DEC2020',%20'14800.00','PE','NIFTY%2050');" TargetMode="External"/><Relationship Id="rId13" Type="http://schemas.openxmlformats.org/officeDocument/2006/relationships/hyperlink" Target="/live_market/dynaContent/live_watch/get_quote/GetQuoteFO.jsp?underlying=NIFTY&amp;instrument=OPTIDX&amp;strike=10250.00&amp;type=PE&amp;expiry=24DEC2020" TargetMode="External"/><Relationship Id="rId109" Type="http://schemas.openxmlformats.org/officeDocument/2006/relationships/hyperlink" Target="/live_market/dynaContent/live_watch/option_chain/optionDates.jsp?symbol=NIFTY&amp;instrument=OPTIDX&amp;strike=11500.00" TargetMode="External"/><Relationship Id="rId260" Type="http://schemas.openxmlformats.org/officeDocument/2006/relationships/hyperlink" Target="javascript:chartPopup('NIFTY',%20'OPTIDX',%20'24DEC2020',%20'13200.00','CE','NIFTY%2050');" TargetMode="External"/><Relationship Id="rId316" Type="http://schemas.openxmlformats.org/officeDocument/2006/relationships/hyperlink" Target="/live_market/dynaContent/live_watch/get_quote/GetQuoteFO.jsp?underlying=NIFTY&amp;instrument=OPTIDX&amp;strike=13750.00&amp;type=CE&amp;expiry=24DEC2020" TargetMode="External"/><Relationship Id="rId55" Type="http://schemas.openxmlformats.org/officeDocument/2006/relationships/hyperlink" Target="javascript:chartPopup('NIFTY',%20'OPTIDX',%20'24DEC2020',%20'10800.00','CE','NIFTY%2050');" TargetMode="External"/><Relationship Id="rId97" Type="http://schemas.openxmlformats.org/officeDocument/2006/relationships/hyperlink" Target="/live_market/dynaContent/live_watch/get_quote/GetQuoteFO.jsp?underlying=NIFTY&amp;instrument=OPTIDX&amp;strike=11350.00&amp;type=PE&amp;expiry=24DEC2020" TargetMode="External"/><Relationship Id="rId120" Type="http://schemas.openxmlformats.org/officeDocument/2006/relationships/hyperlink" Target="javascript:chartPopup('NIFTY',%20'OPTIDX',%20'24DEC2020',%20'11650.00','CE','NIFTY%2050');" TargetMode="External"/><Relationship Id="rId358" Type="http://schemas.openxmlformats.org/officeDocument/2006/relationships/hyperlink" Target="javascript:chartPopup('NIFTY',%20'OPTIDX',%20'24DEC2020',%20'14150.00','PE','NIFTY%2050');" TargetMode="External"/><Relationship Id="rId162" Type="http://schemas.openxmlformats.org/officeDocument/2006/relationships/hyperlink" Target="/live_market/dynaContent/live_watch/get_quote/GetQuoteFO.jsp?underlying=NIFTY&amp;instrument=OPTIDX&amp;strike=12150.00&amp;type=PE&amp;expiry=24DEC2020" TargetMode="External"/><Relationship Id="rId218" Type="http://schemas.openxmlformats.org/officeDocument/2006/relationships/hyperlink" Target="/live_market/dynaContent/live_watch/get_quote/GetQuoteFO.jsp?underlying=NIFTY&amp;instrument=OPTIDX&amp;strike=12750.00&amp;type=PE&amp;expiry=24DEC2020" TargetMode="External"/><Relationship Id="rId425" Type="http://schemas.openxmlformats.org/officeDocument/2006/relationships/hyperlink" Target="/live_market/dynaContent/live_watch/option_chain/optionDates.jsp?symbol=NIFTY&amp;instrument=OPTIDX&amp;strike=14950.00" TargetMode="External"/><Relationship Id="rId271" Type="http://schemas.openxmlformats.org/officeDocument/2006/relationships/hyperlink" Target="/live_market/dynaContent/live_watch/get_quote/GetQuoteFO.jsp?underlying=NIFTY&amp;instrument=OPTIDX&amp;strike=13300.00&amp;type=CE&amp;expiry=24DEC2020" TargetMode="External"/><Relationship Id="rId24" Type="http://schemas.openxmlformats.org/officeDocument/2006/relationships/hyperlink" Target="/live_market/dynaContent/live_watch/option_chain/optionDates.jsp?symbol=NIFTY&amp;instrument=OPTIDX&amp;strike=10400.00" TargetMode="External"/><Relationship Id="rId66" Type="http://schemas.openxmlformats.org/officeDocument/2006/relationships/hyperlink" Target="javascript:chartPopup('NIFTY',%20'OPTIDX',%20'24DEC2020',%20'10900.00','PE','NIFTY%2050');" TargetMode="External"/><Relationship Id="rId131" Type="http://schemas.openxmlformats.org/officeDocument/2006/relationships/hyperlink" Target="javascript:chartPopup('NIFTY',%20'OPTIDX',%20'24DEC2020',%20'11750.00','PE','NIFTY%2050');" TargetMode="External"/><Relationship Id="rId327" Type="http://schemas.openxmlformats.org/officeDocument/2006/relationships/hyperlink" Target="/live_market/dynaContent/live_watch/option_chain/optionDates.jsp?symbol=NIFTY&amp;instrument=OPTIDX&amp;strike=13850.00" TargetMode="External"/><Relationship Id="rId369" Type="http://schemas.openxmlformats.org/officeDocument/2006/relationships/hyperlink" Target="/live_market/dynaContent/live_watch/get_quote/GetQuoteFO.jsp?underlying=NIFTY&amp;instrument=OPTIDX&amp;strike=14300.00&amp;type=CE&amp;expiry=24DEC2020" TargetMode="External"/><Relationship Id="rId173" Type="http://schemas.openxmlformats.org/officeDocument/2006/relationships/hyperlink" Target="javascript:chartPopup('NIFTY',%20'OPTIDX',%20'24DEC2020',%20'12300.00','CE','NIFTY%2050');" TargetMode="External"/><Relationship Id="rId229" Type="http://schemas.openxmlformats.org/officeDocument/2006/relationships/hyperlink" Target="javascript:chartPopup('NIFTY',%20'OPTIDX',%20'24DEC2020',%20'12850.00','PE','NIFTY%2050');" TargetMode="External"/><Relationship Id="rId380" Type="http://schemas.openxmlformats.org/officeDocument/2006/relationships/hyperlink" Target="/live_market/dynaContent/live_watch/get_quote/GetQuoteFO.jsp?underlying=NIFTY&amp;instrument=OPTIDX&amp;strike=14400.00&amp;type=PE&amp;expiry=24DEC2020" TargetMode="External"/><Relationship Id="rId436" Type="http://schemas.openxmlformats.org/officeDocument/2006/relationships/hyperlink" Target="/live_market/dynaContent/live_watch/get_quote/GetQuoteFO.jsp?underlying=NIFTY&amp;instrument=OPTIDX&amp;strike=15100.00&amp;type=CE&amp;expiry=24DEC2020" TargetMode="External"/><Relationship Id="rId240" Type="http://schemas.openxmlformats.org/officeDocument/2006/relationships/hyperlink" Target="javascript:chartPopup('NIFTY',%20'OPTIDX',%20'24DEC2020',%20'13000.00','CE','NIFTY%2050');" TargetMode="External"/><Relationship Id="rId35" Type="http://schemas.openxmlformats.org/officeDocument/2006/relationships/hyperlink" Target="javascript:chartPopup('NIFTY',%20'OPTIDX',%20'24DEC2020',%20'10550.00','CE','NIFTY%2050');" TargetMode="External"/><Relationship Id="rId77" Type="http://schemas.openxmlformats.org/officeDocument/2006/relationships/hyperlink" Target="javascript:chartPopup('NIFTY',%20'OPTIDX',%20'24DEC2020',%20'11100.00','CE','NIFTY%2050');" TargetMode="External"/><Relationship Id="rId100" Type="http://schemas.openxmlformats.org/officeDocument/2006/relationships/hyperlink" Target="/live_market/dynaContent/live_watch/option_chain/optionDates.jsp?symbol=NIFTY&amp;instrument=OPTIDX&amp;strike=11400.00" TargetMode="External"/><Relationship Id="rId282" Type="http://schemas.openxmlformats.org/officeDocument/2006/relationships/hyperlink" Target="/live_market/dynaContent/live_watch/option_chain/optionDates.jsp?symbol=NIFTY&amp;instrument=OPTIDX&amp;strike=13400.00" TargetMode="External"/><Relationship Id="rId338" Type="http://schemas.openxmlformats.org/officeDocument/2006/relationships/hyperlink" Target="/live_market/dynaContent/live_watch/get_quote/GetQuoteFO.jsp?underlying=NIFTY&amp;instrument=OPTIDX&amp;strike=13950.00&amp;type=PE&amp;expiry=24DEC2020" TargetMode="External"/><Relationship Id="rId8" Type="http://schemas.openxmlformats.org/officeDocument/2006/relationships/hyperlink" Target="/live_market/dynaContent/live_watch/option_chain/optionDates.jsp?symbol=NIFTY&amp;instrument=OPTIDX&amp;strike=10200.00" TargetMode="External"/><Relationship Id="rId142" Type="http://schemas.openxmlformats.org/officeDocument/2006/relationships/hyperlink" Target="/live_market/dynaContent/live_watch/get_quote/GetQuoteFO.jsp?underlying=NIFTY&amp;instrument=OPTIDX&amp;strike=11900.00&amp;type=PE&amp;expiry=24DEC2020" TargetMode="External"/><Relationship Id="rId184" Type="http://schemas.openxmlformats.org/officeDocument/2006/relationships/hyperlink" Target="/live_market/dynaContent/live_watch/option_chain/optionDates.jsp?symbol=NIFTY&amp;instrument=OPTIDX&amp;strike=12400.00" TargetMode="External"/><Relationship Id="rId391" Type="http://schemas.openxmlformats.org/officeDocument/2006/relationships/hyperlink" Target="javascript:chartPopup('NIFTY',%20'OPTIDX',%20'24DEC2020',%20'14550.00','CE','NIFTY%2050');" TargetMode="External"/><Relationship Id="rId405" Type="http://schemas.openxmlformats.org/officeDocument/2006/relationships/hyperlink" Target="/live_market/dynaContent/live_watch/option_chain/optionDates.jsp?symbol=NIFTY&amp;instrument=OPTIDX&amp;strike=14700.00" TargetMode="External"/><Relationship Id="rId447" Type="http://schemas.openxmlformats.org/officeDocument/2006/relationships/hyperlink" Target="javascript:chartPopup('NIFTY',%20'OPTIDX',%20'24DEC2020',%20'15250.00','CE','NIFTY%2050');" TargetMode="External"/><Relationship Id="rId251" Type="http://schemas.openxmlformats.org/officeDocument/2006/relationships/hyperlink" Target="/live_market/dynaContent/live_watch/get_quote/GetQuoteFO.jsp?underlying=NIFTY&amp;instrument=OPTIDX&amp;strike=13100.00&amp;type=CE&amp;expiry=24DEC2020" TargetMode="External"/><Relationship Id="rId46" Type="http://schemas.openxmlformats.org/officeDocument/2006/relationships/hyperlink" Target="javascript:chartPopup('NIFTY',%20'OPTIDX',%20'24DEC2020',%20'10650.00','PE','NIFTY%2050');" TargetMode="External"/><Relationship Id="rId293" Type="http://schemas.openxmlformats.org/officeDocument/2006/relationships/hyperlink" Target="/live_market/dynaContent/live_watch/get_quote/GetQuoteFO.jsp?underlying=NIFTY&amp;instrument=OPTIDX&amp;strike=13500.00&amp;type=PE&amp;expiry=24DEC2020" TargetMode="External"/><Relationship Id="rId307" Type="http://schemas.openxmlformats.org/officeDocument/2006/relationships/hyperlink" Target="/live_market/dynaContent/live_watch/option_chain/optionDates.jsp?symbol=NIFTY&amp;instrument=OPTIDX&amp;strike=13650.00" TargetMode="External"/><Relationship Id="rId349" Type="http://schemas.openxmlformats.org/officeDocument/2006/relationships/hyperlink" Target="javascript:chartPopup('NIFTY',%20'OPTIDX',%20'24DEC2020',%20'14050.00','PE','NIFTY%2050');" TargetMode="External"/><Relationship Id="rId88" Type="http://schemas.openxmlformats.org/officeDocument/2006/relationships/hyperlink" Target="javascript:chartPopup('NIFTY',%20'OPTIDX',%20'24DEC2020',%20'11250.00','CE','NIFTY%2050');" TargetMode="External"/><Relationship Id="rId111" Type="http://schemas.openxmlformats.org/officeDocument/2006/relationships/hyperlink" Target="javascript:chartPopup('NIFTY',%20'OPTIDX',%20'24DEC2020',%20'11500.00','PE','NIFTY%2050');" TargetMode="External"/><Relationship Id="rId153" Type="http://schemas.openxmlformats.org/officeDocument/2006/relationships/hyperlink" Target="/live_market/dynaContent/live_watch/option_chain/optionDates.jsp?symbol=NIFTY&amp;instrument=OPTIDX&amp;strike=12050.00" TargetMode="External"/><Relationship Id="rId195" Type="http://schemas.openxmlformats.org/officeDocument/2006/relationships/hyperlink" Target="/live_market/dynaContent/live_watch/get_quote/GetQuoteFO.jsp?underlying=NIFTY&amp;instrument=OPTIDX&amp;strike=12500.00&amp;type=PE&amp;expiry=24DEC2020" TargetMode="External"/><Relationship Id="rId209" Type="http://schemas.openxmlformats.org/officeDocument/2006/relationships/hyperlink" Target="javascript:chartPopup('NIFTY',%20'OPTIDX',%20'24DEC2020',%20'12650.00','PE','NIFTY%2050');" TargetMode="External"/><Relationship Id="rId360" Type="http://schemas.openxmlformats.org/officeDocument/2006/relationships/hyperlink" Target="/live_market/dynaContent/live_watch/get_quote/GetQuoteFO.jsp?underlying=NIFTY&amp;instrument=OPTIDX&amp;strike=14200.00&amp;type=CE&amp;expiry=24DEC2020" TargetMode="External"/><Relationship Id="rId416" Type="http://schemas.openxmlformats.org/officeDocument/2006/relationships/hyperlink" Target="/live_market/dynaContent/live_watch/get_quote/GetQuoteFO.jsp?underlying=NIFTY&amp;instrument=OPTIDX&amp;strike=14850.00&amp;type=CE&amp;expiry=24DEC2020" TargetMode="External"/><Relationship Id="rId220" Type="http://schemas.openxmlformats.org/officeDocument/2006/relationships/hyperlink" Target="javascript:chartPopup('NIFTY',%20'OPTIDX',%20'24DEC2020',%20'12800.00','CE','NIFTY%2050');" TargetMode="External"/><Relationship Id="rId15" Type="http://schemas.openxmlformats.org/officeDocument/2006/relationships/hyperlink" Target="javascript:chartPopup('NIFTY',%20'OPTIDX',%20'24DEC2020',%20'10300.00','CE','NIFTY%2050');" TargetMode="External"/><Relationship Id="rId57" Type="http://schemas.openxmlformats.org/officeDocument/2006/relationships/hyperlink" Target="/live_market/dynaContent/live_watch/get_quote/GetQuoteFO.jsp?underlying=NIFTY&amp;instrument=OPTIDX&amp;strike=10800.00&amp;type=PE&amp;expiry=24DEC2020" TargetMode="External"/><Relationship Id="rId262" Type="http://schemas.openxmlformats.org/officeDocument/2006/relationships/hyperlink" Target="/live_market/dynaContent/live_watch/option_chain/optionDates.jsp?symbol=NIFTY&amp;instrument=OPTIDX&amp;strike=13200.00" TargetMode="External"/><Relationship Id="rId318" Type="http://schemas.openxmlformats.org/officeDocument/2006/relationships/hyperlink" Target="/live_market/dynaContent/live_watch/get_quote/GetQuoteFO.jsp?underlying=NIFTY&amp;instrument=OPTIDX&amp;strike=13750.00&amp;type=PE&amp;expiry=24DEC2020" TargetMode="External"/><Relationship Id="rId99" Type="http://schemas.openxmlformats.org/officeDocument/2006/relationships/hyperlink" Target="javascript:chartPopup('NIFTY',%20'OPTIDX',%20'24DEC2020',%20'11400.00','CE','NIFTY%2050');" TargetMode="External"/><Relationship Id="rId122" Type="http://schemas.openxmlformats.org/officeDocument/2006/relationships/hyperlink" Target="/live_market/dynaContent/live_watch/get_quote/GetQuoteFO.jsp?underlying=NIFTY&amp;instrument=OPTIDX&amp;strike=11650.00&amp;type=PE&amp;expiry=24DEC2020" TargetMode="External"/><Relationship Id="rId164" Type="http://schemas.openxmlformats.org/officeDocument/2006/relationships/hyperlink" Target="javascript:chartPopup('NIFTY',%20'OPTIDX',%20'24DEC2020',%20'12200.00','CE','NIFTY%2050');" TargetMode="External"/><Relationship Id="rId371" Type="http://schemas.openxmlformats.org/officeDocument/2006/relationships/hyperlink" Target="/live_market/dynaContent/live_watch/get_quote/GetQuoteFO.jsp?underlying=NIFTY&amp;instrument=OPTIDX&amp;strike=14300.00&amp;type=PE&amp;expiry=24DEC2020" TargetMode="External"/><Relationship Id="rId427" Type="http://schemas.openxmlformats.org/officeDocument/2006/relationships/hyperlink" Target="javascript:chartPopup('NIFTY',%20'OPTIDX',%20'24DEC2020',%20'15000.00','CE','NIFTY%2050');" TargetMode="External"/><Relationship Id="rId26" Type="http://schemas.openxmlformats.org/officeDocument/2006/relationships/hyperlink" Target="javascript:chartPopup('NIFTY',%20'OPTIDX',%20'24DEC2020',%20'10400.00','PE','NIFTY%2050');" TargetMode="External"/><Relationship Id="rId231" Type="http://schemas.openxmlformats.org/officeDocument/2006/relationships/hyperlink" Target="/live_market/dynaContent/live_watch/get_quote/GetQuoteFO.jsp?underlying=NIFTY&amp;instrument=OPTIDX&amp;strike=12900.00&amp;type=CE&amp;expiry=24DEC2020" TargetMode="External"/><Relationship Id="rId273" Type="http://schemas.openxmlformats.org/officeDocument/2006/relationships/hyperlink" Target="/live_market/dynaContent/live_watch/get_quote/GetQuoteFO.jsp?underlying=NIFTY&amp;instrument=OPTIDX&amp;strike=13300.00&amp;type=PE&amp;expiry=24DEC2020" TargetMode="External"/><Relationship Id="rId329" Type="http://schemas.openxmlformats.org/officeDocument/2006/relationships/hyperlink" Target="javascript:chartPopup('NIFTY',%20'OPTIDX',%20'24DEC2020',%20'13850.00','PE','NIFTY%2050');" TargetMode="External"/><Relationship Id="rId68" Type="http://schemas.openxmlformats.org/officeDocument/2006/relationships/hyperlink" Target="/live_market/dynaContent/live_watch/option_chain/optionDates.jsp?symbol=NIFTY&amp;instrument=OPTIDX&amp;strike=10950.00" TargetMode="External"/><Relationship Id="rId133" Type="http://schemas.openxmlformats.org/officeDocument/2006/relationships/hyperlink" Target="/live_market/dynaContent/live_watch/option_chain/optionDates.jsp?symbol=NIFTY&amp;instrument=OPTIDX&amp;strike=11800.00" TargetMode="External"/><Relationship Id="rId175" Type="http://schemas.openxmlformats.org/officeDocument/2006/relationships/hyperlink" Target="/live_market/dynaContent/live_watch/option_chain/optionDates.jsp?symbol=NIFTY&amp;instrument=OPTIDX&amp;strike=12300.00" TargetMode="External"/><Relationship Id="rId340" Type="http://schemas.openxmlformats.org/officeDocument/2006/relationships/hyperlink" Target="javascript:chartPopup('NIFTY',%20'OPTIDX',%20'24DEC2020',%20'14000.00','CE','NIFTY%2050');" TargetMode="External"/><Relationship Id="rId200" Type="http://schemas.openxmlformats.org/officeDocument/2006/relationships/hyperlink" Target="javascript:chartPopup('NIFTY',%20'OPTIDX',%20'24DEC2020',%20'12550.00','PE','NIFTY%2050');" TargetMode="External"/><Relationship Id="rId382" Type="http://schemas.openxmlformats.org/officeDocument/2006/relationships/hyperlink" Target="javascript:chartPopup('NIFTY',%20'OPTIDX',%20'24DEC2020',%20'14450.00','CE','NIFTY%2050');" TargetMode="External"/><Relationship Id="rId438" Type="http://schemas.openxmlformats.org/officeDocument/2006/relationships/hyperlink" Target="javascript:chartPopup('NIFTY',%20'OPTIDX',%20'24DEC2020',%20'15100.00','PE','NIFTY%2050');" TargetMode="External"/><Relationship Id="rId242" Type="http://schemas.openxmlformats.org/officeDocument/2006/relationships/hyperlink" Target="/live_market/dynaContent/live_watch/option_chain/optionDates.jsp?symbol=NIFTY&amp;instrument=OPTIDX&amp;strike=13000.00" TargetMode="External"/><Relationship Id="rId284" Type="http://schemas.openxmlformats.org/officeDocument/2006/relationships/hyperlink" Target="javascript:chartPopup('NIFTY',%20'OPTIDX',%20'24DEC2020',%20'13400.00','PE','NIFTY%2050');" TargetMode="External"/><Relationship Id="rId37" Type="http://schemas.openxmlformats.org/officeDocument/2006/relationships/hyperlink" Target="/live_market/dynaContent/live_watch/get_quote/GetQuoteFO.jsp?underlying=NIFTY&amp;instrument=OPTIDX&amp;strike=10550.00&amp;type=PE&amp;expiry=24DEC2020" TargetMode="External"/><Relationship Id="rId79" Type="http://schemas.openxmlformats.org/officeDocument/2006/relationships/hyperlink" Target="/live_market/dynaContent/live_watch/get_quote/GetQuoteFO.jsp?underlying=NIFTY&amp;instrument=OPTIDX&amp;strike=11100.00&amp;type=PE&amp;expiry=24DEC2020" TargetMode="External"/><Relationship Id="rId102" Type="http://schemas.openxmlformats.org/officeDocument/2006/relationships/hyperlink" Target="javascript:chartPopup('NIFTY',%20'OPTIDX',%20'24DEC2020',%20'11400.00','PE','NIFTY%2050');" TargetMode="External"/><Relationship Id="rId144" Type="http://schemas.openxmlformats.org/officeDocument/2006/relationships/hyperlink" Target="javascript:chartPopup('NIFTY',%20'OPTIDX',%20'24DEC2020',%20'11950.00','CE','NIFTY%2050');" TargetMode="External"/><Relationship Id="rId90" Type="http://schemas.openxmlformats.org/officeDocument/2006/relationships/hyperlink" Target="javascript:chartPopup('NIFTY',%20'OPTIDX',%20'24DEC2020',%20'11250.00','PE','NIFTY%2050');" TargetMode="External"/><Relationship Id="rId186" Type="http://schemas.openxmlformats.org/officeDocument/2006/relationships/hyperlink" Target="javascript:chartPopup('NIFTY',%20'OPTIDX',%20'24DEC2020',%20'12400.00','PE','NIFTY%2050');" TargetMode="External"/><Relationship Id="rId351" Type="http://schemas.openxmlformats.org/officeDocument/2006/relationships/hyperlink" Target="/live_market/dynaContent/live_watch/get_quote/GetQuoteFO.jsp?underlying=NIFTY&amp;instrument=OPTIDX&amp;strike=14100.00&amp;type=CE&amp;expiry=24DEC2020" TargetMode="External"/><Relationship Id="rId393" Type="http://schemas.openxmlformats.org/officeDocument/2006/relationships/hyperlink" Target="/live_market/dynaContent/live_watch/option_chain/optionDates.jsp?symbol=NIFTY&amp;instrument=OPTIDX&amp;strike=14550.00" TargetMode="External"/><Relationship Id="rId407" Type="http://schemas.openxmlformats.org/officeDocument/2006/relationships/hyperlink" Target="javascript:chartPopup('NIFTY',%20'OPTIDX',%20'24DEC2020',%20'14750.00','CE','NIFTY%2050');" TargetMode="External"/><Relationship Id="rId449" Type="http://schemas.openxmlformats.org/officeDocument/2006/relationships/hyperlink" Target="/live_market/dynaContent/live_watch/option_chain/optionDates.jsp?symbol=NIFTY&amp;instrument=OPTIDX&amp;strike=15250.00" TargetMode="External"/><Relationship Id="rId211" Type="http://schemas.openxmlformats.org/officeDocument/2006/relationships/hyperlink" Target="/live_market/dynaContent/live_watch/get_quote/GetQuoteFO.jsp?underlying=NIFTY&amp;instrument=OPTIDX&amp;strike=12700.00&amp;type=CE&amp;expiry=24DEC2020" TargetMode="External"/><Relationship Id="rId253" Type="http://schemas.openxmlformats.org/officeDocument/2006/relationships/hyperlink" Target="/live_market/dynaContent/live_watch/get_quote/GetQuoteFO.jsp?underlying=NIFTY&amp;instrument=OPTIDX&amp;strike=13100.00&amp;type=PE&amp;expiry=24DEC2020" TargetMode="External"/><Relationship Id="rId295" Type="http://schemas.openxmlformats.org/officeDocument/2006/relationships/hyperlink" Target="javascript:chartPopup('NIFTY',%20'OPTIDX',%20'24DEC2020',%20'13550.00','CE','NIFTY%2050');" TargetMode="External"/><Relationship Id="rId309" Type="http://schemas.openxmlformats.org/officeDocument/2006/relationships/hyperlink" Target="javascript:chartPopup('NIFTY',%20'OPTIDX',%20'24DEC2020',%20'13650.00','PE','NIFTY%2050');" TargetMode="External"/><Relationship Id="rId48" Type="http://schemas.openxmlformats.org/officeDocument/2006/relationships/hyperlink" Target="/live_market/dynaContent/live_watch/option_chain/optionDates.jsp?symbol=NIFTY&amp;instrument=OPTIDX&amp;strike=10700.00" TargetMode="External"/><Relationship Id="rId113" Type="http://schemas.openxmlformats.org/officeDocument/2006/relationships/hyperlink" Target="/live_market/dynaContent/live_watch/option_chain/optionDates.jsp?symbol=NIFTY&amp;instrument=OPTIDX&amp;strike=11550.00" TargetMode="External"/><Relationship Id="rId320" Type="http://schemas.openxmlformats.org/officeDocument/2006/relationships/hyperlink" Target="javascript:chartPopup('NIFTY',%20'OPTIDX',%20'24DEC2020',%20'13800.00','CE','NIFTY%2050');" TargetMode="External"/><Relationship Id="rId155" Type="http://schemas.openxmlformats.org/officeDocument/2006/relationships/hyperlink" Target="javascript:chartPopup('NIFTY',%20'OPTIDX',%20'24DEC2020',%20'12050.00','PE','NIFTY%2050');" TargetMode="External"/><Relationship Id="rId197" Type="http://schemas.openxmlformats.org/officeDocument/2006/relationships/hyperlink" Target="javascript:chartPopup('NIFTY',%20'OPTIDX',%20'24DEC2020',%20'12550.00','CE','NIFTY%2050');" TargetMode="External"/><Relationship Id="rId362" Type="http://schemas.openxmlformats.org/officeDocument/2006/relationships/hyperlink" Target="/live_market/dynaContent/live_watch/get_quote/GetQuoteFO.jsp?underlying=NIFTY&amp;instrument=OPTIDX&amp;strike=14200.00&amp;type=PE&amp;expiry=24DEC2020" TargetMode="External"/><Relationship Id="rId418" Type="http://schemas.openxmlformats.org/officeDocument/2006/relationships/hyperlink" Target="javascript:chartPopup('NIFTY',%20'OPTIDX',%20'24DEC2020',%20'14850.00','PE','NIFTY%2050');" TargetMode="External"/><Relationship Id="rId222" Type="http://schemas.openxmlformats.org/officeDocument/2006/relationships/hyperlink" Target="/live_market/dynaContent/live_watch/option_chain/optionDates.jsp?symbol=NIFTY&amp;instrument=OPTIDX&amp;strike=12800.00" TargetMode="External"/><Relationship Id="rId264" Type="http://schemas.openxmlformats.org/officeDocument/2006/relationships/hyperlink" Target="javascript:chartPopup('NIFTY',%20'OPTIDX',%20'24DEC2020',%20'13200.00','PE','NIFTY%2050');" TargetMode="External"/><Relationship Id="rId17" Type="http://schemas.openxmlformats.org/officeDocument/2006/relationships/hyperlink" Target="/live_market/dynaContent/live_watch/get_quote/GetQuoteFO.jsp?underlying=NIFTY&amp;instrument=OPTIDX&amp;strike=10300.00&amp;type=PE&amp;expiry=24DEC2020" TargetMode="External"/><Relationship Id="rId59" Type="http://schemas.openxmlformats.org/officeDocument/2006/relationships/hyperlink" Target="javascript:chartPopup('NIFTY',%20'OPTIDX',%20'24DEC2020',%20'10850.00','CE','NIFTY%2050');" TargetMode="External"/><Relationship Id="rId124" Type="http://schemas.openxmlformats.org/officeDocument/2006/relationships/hyperlink" Target="javascript:chartPopup('NIFTY',%20'OPTIDX',%20'24DEC2020',%20'11700.00','CE','NIFTY%2050');" TargetMode="External"/><Relationship Id="rId70" Type="http://schemas.openxmlformats.org/officeDocument/2006/relationships/hyperlink" Target="javascript:chartPopup('NIFTY',%20'OPTIDX',%20'24DEC2020',%20'11000.00','CE','NIFTY%2050');" TargetMode="External"/><Relationship Id="rId166" Type="http://schemas.openxmlformats.org/officeDocument/2006/relationships/hyperlink" Target="/live_market/dynaContent/live_watch/option_chain/optionDates.jsp?symbol=NIFTY&amp;instrument=OPTIDX&amp;strike=12200.00" TargetMode="External"/><Relationship Id="rId331" Type="http://schemas.openxmlformats.org/officeDocument/2006/relationships/hyperlink" Target="/live_market/dynaContent/live_watch/get_quote/GetQuoteFO.jsp?underlying=NIFTY&amp;instrument=OPTIDX&amp;strike=13900.00&amp;type=CE&amp;expiry=24DEC2020" TargetMode="External"/><Relationship Id="rId373" Type="http://schemas.openxmlformats.org/officeDocument/2006/relationships/hyperlink" Target="javascript:chartPopup('NIFTY',%20'OPTIDX',%20'24DEC2020',%20'14350.00','CE','NIFTY%2050');" TargetMode="External"/><Relationship Id="rId429" Type="http://schemas.openxmlformats.org/officeDocument/2006/relationships/hyperlink" Target="/live_market/dynaContent/live_watch/option_chain/optionDates.jsp?symbol=NIFTY&amp;instrument=OPTIDX&amp;strike=15000.00" TargetMode="External"/><Relationship Id="rId1" Type="http://schemas.openxmlformats.org/officeDocument/2006/relationships/hyperlink" Target="javascript:chartPopup('NIFTY',%20'OPTIDX',%20'24DEC2020',%20'10150.00','CE','NIFTY%2050');" TargetMode="External"/><Relationship Id="rId233" Type="http://schemas.openxmlformats.org/officeDocument/2006/relationships/hyperlink" Target="/live_market/dynaContent/live_watch/get_quote/GetQuoteFO.jsp?underlying=NIFTY&amp;instrument=OPTIDX&amp;strike=12900.00&amp;type=PE&amp;expiry=24DEC2020" TargetMode="External"/><Relationship Id="rId440" Type="http://schemas.openxmlformats.org/officeDocument/2006/relationships/hyperlink" Target="/live_market/dynaContent/live_watch/get_quote/GetQuoteFO.jsp?underlying=NIFTY&amp;instrument=OPTIDX&amp;strike=15150.00&amp;type=CE&amp;expiry=24DEC2020" TargetMode="External"/><Relationship Id="rId28" Type="http://schemas.openxmlformats.org/officeDocument/2006/relationships/hyperlink" Target="/live_market/dynaContent/live_watch/option_chain/optionDates.jsp?symbol=NIFTY&amp;instrument=OPTIDX&amp;strike=10450.00" TargetMode="External"/><Relationship Id="rId275" Type="http://schemas.openxmlformats.org/officeDocument/2006/relationships/hyperlink" Target="javascript:chartPopup('NIFTY',%20'OPTIDX',%20'24DEC2020',%20'13350.00','CE','NIFTY%2050');" TargetMode="External"/><Relationship Id="rId300" Type="http://schemas.openxmlformats.org/officeDocument/2006/relationships/hyperlink" Target="javascript:chartPopup('NIFTY',%20'OPTIDX',%20'24DEC2020',%20'13600.00','CE','NIFTY%2050');" TargetMode="External"/><Relationship Id="rId81" Type="http://schemas.openxmlformats.org/officeDocument/2006/relationships/hyperlink" Target="javascript:chartPopup('NIFTY',%20'OPTIDX',%20'24DEC2020',%20'11150.00','CE','NIFTY%2050');" TargetMode="External"/><Relationship Id="rId135" Type="http://schemas.openxmlformats.org/officeDocument/2006/relationships/hyperlink" Target="javascript:chartPopup('NIFTY',%20'OPTIDX',%20'24DEC2020',%20'11800.00','PE','NIFTY%2050');" TargetMode="External"/><Relationship Id="rId177" Type="http://schemas.openxmlformats.org/officeDocument/2006/relationships/hyperlink" Target="javascript:chartPopup('NIFTY',%20'OPTIDX',%20'24DEC2020',%20'12300.00','PE','NIFTY%2050');" TargetMode="External"/><Relationship Id="rId342" Type="http://schemas.openxmlformats.org/officeDocument/2006/relationships/hyperlink" Target="/live_market/dynaContent/live_watch/option_chain/optionDates.jsp?symbol=NIFTY&amp;instrument=OPTIDX&amp;strike=14000.00" TargetMode="External"/><Relationship Id="rId384" Type="http://schemas.openxmlformats.org/officeDocument/2006/relationships/hyperlink" Target="/live_market/dynaContent/live_watch/option_chain/optionDates.jsp?symbol=NIFTY&amp;instrument=OPTIDX&amp;strike=14450.00" TargetMode="External"/><Relationship Id="rId202" Type="http://schemas.openxmlformats.org/officeDocument/2006/relationships/hyperlink" Target="/live_market/dynaContent/live_watch/get_quote/GetQuoteFO.jsp?underlying=NIFTY&amp;instrument=OPTIDX&amp;strike=12600.00&amp;type=CE&amp;expiry=24DEC2020" TargetMode="External"/><Relationship Id="rId244" Type="http://schemas.openxmlformats.org/officeDocument/2006/relationships/hyperlink" Target="javascript:chartPopup('NIFTY',%20'OPTIDX',%20'24DEC2020',%20'13000.00','PE','NIFTY%2050');" TargetMode="External"/><Relationship Id="rId39" Type="http://schemas.openxmlformats.org/officeDocument/2006/relationships/hyperlink" Target="javascript:chartPopup('NIFTY',%20'OPTIDX',%20'24DEC2020',%20'10600.00','CE','NIFTY%2050');" TargetMode="External"/><Relationship Id="rId286" Type="http://schemas.openxmlformats.org/officeDocument/2006/relationships/hyperlink" Target="/live_market/dynaContent/live_watch/get_quote/GetQuoteFO.jsp?underlying=NIFTY&amp;instrument=OPTIDX&amp;strike=13450.00&amp;type=CE&amp;expiry=24DEC2020" TargetMode="External"/><Relationship Id="rId45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/live_market/dynaContent/live_watch/option_chain/optionDates.jsp?symbol=BANKNIFTY&amp;instrument=OPTIDX&amp;strike=24200.00" TargetMode="External"/><Relationship Id="rId21" Type="http://schemas.openxmlformats.org/officeDocument/2006/relationships/hyperlink" Target="javascript:chartPopup('BANKNIFTY',%20'OPTIDX',%20'24DEC2020',%20'21400.00','CE','NIFTY%20PSE');" TargetMode="External"/><Relationship Id="rId324" Type="http://schemas.openxmlformats.org/officeDocument/2006/relationships/hyperlink" Target="/live_market/dynaContent/live_watch/option_chain/optionDates.jsp?symbol=BANKNIFTY&amp;instrument=OPTIDX&amp;strike=29200.00" TargetMode="External"/><Relationship Id="rId531" Type="http://schemas.openxmlformats.org/officeDocument/2006/relationships/hyperlink" Target="javascript:chartPopup('BANKNIFTY',%20'OPTIDX',%20'24DEC2020',%20'33600.00','PE','NIFTY%20PSE');" TargetMode="External"/><Relationship Id="rId170" Type="http://schemas.openxmlformats.org/officeDocument/2006/relationships/hyperlink" Target="/live_market/dynaContent/live_watch/get_quote/GetQuoteFO.jsp?underlying=BANKNIFTY&amp;instrument=OPTIDX&amp;strike=25700.00&amp;type=PE&amp;expiry=24DEC2020" TargetMode="External"/><Relationship Id="rId268" Type="http://schemas.openxmlformats.org/officeDocument/2006/relationships/hyperlink" Target="/live_market/dynaContent/live_watch/option_chain/optionDates.jsp?symbol=BANKNIFTY&amp;instrument=OPTIDX&amp;strike=28000.00" TargetMode="External"/><Relationship Id="rId475" Type="http://schemas.openxmlformats.org/officeDocument/2006/relationships/hyperlink" Target="javascript:chartPopup('BANKNIFTY',%20'OPTIDX',%20'24DEC2020',%20'32300.00','CE','NIFTY%20PSE');" TargetMode="External"/><Relationship Id="rId32" Type="http://schemas.openxmlformats.org/officeDocument/2006/relationships/hyperlink" Target="javascript:chartPopup('BANKNIFTY',%20'OPTIDX',%20'24DEC2020',%20'21700.00','CE','NIFTY%20PSE');" TargetMode="External"/><Relationship Id="rId128" Type="http://schemas.openxmlformats.org/officeDocument/2006/relationships/hyperlink" Target="/live_market/dynaContent/live_watch/get_quote/GetQuoteFO.jsp?underlying=BANKNIFTY&amp;instrument=OPTIDX&amp;strike=24500.00&amp;type=PE&amp;expiry=24DEC2020" TargetMode="External"/><Relationship Id="rId335" Type="http://schemas.openxmlformats.org/officeDocument/2006/relationships/hyperlink" Target="/live_market/dynaContent/live_watch/get_quote/GetQuoteFO.jsp?underlying=BANKNIFTY&amp;instrument=OPTIDX&amp;strike=29400.00&amp;type=PE&amp;expiry=24DEC2020" TargetMode="External"/><Relationship Id="rId181" Type="http://schemas.openxmlformats.org/officeDocument/2006/relationships/hyperlink" Target="/live_market/dynaContent/live_watch/get_quote/GetQuoteFO.jsp?underlying=BANKNIFTY&amp;instrument=OPTIDX&amp;strike=26000.00&amp;type=CE&amp;expiry=24DEC2020" TargetMode="External"/><Relationship Id="rId402" Type="http://schemas.openxmlformats.org/officeDocument/2006/relationships/hyperlink" Target="javascript:chartPopup('BANKNIFTY',%20'OPTIDX',%20'24DEC2020',%20'30800.00','CE','NIFTY%20PSE');" TargetMode="External"/><Relationship Id="rId279" Type="http://schemas.openxmlformats.org/officeDocument/2006/relationships/hyperlink" Target="javascript:chartPopup('BANKNIFTY',%20'OPTIDX',%20'24DEC2020',%20'28300.00','CE','NIFTY%20PSE');" TargetMode="External"/><Relationship Id="rId486" Type="http://schemas.openxmlformats.org/officeDocument/2006/relationships/hyperlink" Target="/live_market/dynaContent/live_watch/get_quote/GetQuoteFO.jsp?underlying=BANKNIFTY&amp;instrument=OPTIDX&amp;strike=32500.00&amp;type=PE&amp;expiry=24DEC2020" TargetMode="External"/><Relationship Id="rId43" Type="http://schemas.openxmlformats.org/officeDocument/2006/relationships/hyperlink" Target="/live_market/dynaContent/live_watch/option_chain/optionDates.jsp?symbol=BANKNIFTY&amp;instrument=OPTIDX&amp;strike=22000.00" TargetMode="External"/><Relationship Id="rId139" Type="http://schemas.openxmlformats.org/officeDocument/2006/relationships/hyperlink" Target="javascript:chartPopup('BANKNIFTY',%20'OPTIDX',%20'24DEC2020',%20'24800.00','PE','NIFTY%20PSE');" TargetMode="External"/><Relationship Id="rId290" Type="http://schemas.openxmlformats.org/officeDocument/2006/relationships/hyperlink" Target="/live_market/dynaContent/live_watch/get_quote/GetQuoteFO.jsp?underlying=BANKNIFTY&amp;instrument=OPTIDX&amp;strike=28500.00&amp;type=PE&amp;expiry=24DEC2020" TargetMode="External"/><Relationship Id="rId304" Type="http://schemas.openxmlformats.org/officeDocument/2006/relationships/hyperlink" Target="/live_market/dynaContent/live_watch/option_chain/optionDates.jsp?symbol=BANKNIFTY&amp;instrument=OPTIDX&amp;strike=28800.00" TargetMode="External"/><Relationship Id="rId346" Type="http://schemas.openxmlformats.org/officeDocument/2006/relationships/hyperlink" Target="javascript:chartPopup('BANKNIFTY',%20'OPTIDX',%20'24DEC2020',%20'29600.00','PE','NIFTY%20PSE');" TargetMode="External"/><Relationship Id="rId388" Type="http://schemas.openxmlformats.org/officeDocument/2006/relationships/hyperlink" Target="/live_market/dynaContent/live_watch/get_quote/GetQuoteFO.jsp?underlying=BANKNIFTY&amp;instrument=OPTIDX&amp;strike=30500.00&amp;type=CE&amp;expiry=24DEC2020" TargetMode="External"/><Relationship Id="rId511" Type="http://schemas.openxmlformats.org/officeDocument/2006/relationships/hyperlink" Target="javascript:chartPopup('BANKNIFTY',%20'OPTIDX',%20'24DEC2020',%20'33100.00','PE','NIFTY%20PSE');" TargetMode="External"/><Relationship Id="rId85" Type="http://schemas.openxmlformats.org/officeDocument/2006/relationships/hyperlink" Target="/live_market/dynaContent/live_watch/option_chain/optionDates.jsp?symbol=BANKNIFTY&amp;instrument=OPTIDX&amp;strike=23200.00" TargetMode="External"/><Relationship Id="rId150" Type="http://schemas.openxmlformats.org/officeDocument/2006/relationships/hyperlink" Target="javascript:chartPopup('BANKNIFTY',%20'OPTIDX',%20'24DEC2020',%20'25100.00','PE','NIFTY%20PSE');" TargetMode="External"/><Relationship Id="rId192" Type="http://schemas.openxmlformats.org/officeDocument/2006/relationships/hyperlink" Target="javascript:chartPopup('BANKNIFTY',%20'OPTIDX',%20'24DEC2020',%20'26200.00','PE','NIFTY%20PSE');" TargetMode="External"/><Relationship Id="rId206" Type="http://schemas.openxmlformats.org/officeDocument/2006/relationships/hyperlink" Target="javascript:chartPopup('BANKNIFTY',%20'OPTIDX',%20'24DEC2020',%20'26600.00','CE','NIFTY%20PSE');" TargetMode="External"/><Relationship Id="rId413" Type="http://schemas.openxmlformats.org/officeDocument/2006/relationships/hyperlink" Target="/live_market/dynaContent/live_watch/get_quote/GetQuoteFO.jsp?underlying=BANKNIFTY&amp;instrument=OPTIDX&amp;strike=31000.00&amp;type=CE&amp;expiry=24DEC2020" TargetMode="External"/><Relationship Id="rId248" Type="http://schemas.openxmlformats.org/officeDocument/2006/relationships/hyperlink" Target="/live_market/dynaContent/live_watch/get_quote/GetQuoteFO.jsp?underlying=BANKNIFTY&amp;instrument=OPTIDX&amp;strike=27500.00&amp;type=PE&amp;expiry=24DEC2020" TargetMode="External"/><Relationship Id="rId455" Type="http://schemas.openxmlformats.org/officeDocument/2006/relationships/hyperlink" Target="/live_market/dynaContent/live_watch/get_quote/GetQuoteFO.jsp?underlying=BANKNIFTY&amp;instrument=OPTIDX&amp;strike=31800.00&amp;type=PE&amp;expiry=24DEC2020" TargetMode="External"/><Relationship Id="rId497" Type="http://schemas.openxmlformats.org/officeDocument/2006/relationships/hyperlink" Target="/live_market/dynaContent/live_watch/get_quote/GetQuoteFO.jsp?underlying=BANKNIFTY&amp;instrument=OPTIDX&amp;strike=32800.00&amp;type=CE&amp;expiry=24DEC2020" TargetMode="External"/><Relationship Id="rId12" Type="http://schemas.openxmlformats.org/officeDocument/2006/relationships/hyperlink" Target="/live_market/dynaContent/live_watch/get_quote/GetQuoteFO.jsp?underlying=BANKNIFTY&amp;instrument=OPTIDX&amp;strike=21100.00&amp;type=PE&amp;expiry=24DEC2020" TargetMode="External"/><Relationship Id="rId108" Type="http://schemas.openxmlformats.org/officeDocument/2006/relationships/hyperlink" Target="javascript:chartPopup('BANKNIFTY',%20'OPTIDX',%20'24DEC2020',%20'23900.00','PE','NIFTY%20PSE');" TargetMode="External"/><Relationship Id="rId315" Type="http://schemas.openxmlformats.org/officeDocument/2006/relationships/hyperlink" Target="/live_market/dynaContent/live_watch/get_quote/GetQuoteFO.jsp?underlying=BANKNIFTY&amp;instrument=OPTIDX&amp;strike=29000.00&amp;type=PE&amp;expiry=24DEC2020" TargetMode="External"/><Relationship Id="rId357" Type="http://schemas.openxmlformats.org/officeDocument/2006/relationships/hyperlink" Target="javascript:chartPopup('BANKNIFTY',%20'OPTIDX',%20'24DEC2020',%20'29900.00','CE','NIFTY%20PSE');" TargetMode="External"/><Relationship Id="rId522" Type="http://schemas.openxmlformats.org/officeDocument/2006/relationships/hyperlink" Target="/live_market/dynaContent/live_watch/option_chain/optionDates.jsp?symbol=BANKNIFTY&amp;instrument=OPTIDX&amp;strike=33400.00" TargetMode="External"/><Relationship Id="rId54" Type="http://schemas.openxmlformats.org/officeDocument/2006/relationships/hyperlink" Target="javascript:chartPopup('BANKNIFTY',%20'OPTIDX',%20'24DEC2020',%20'22300.00','PE','NIFTY%20PSE');" TargetMode="External"/><Relationship Id="rId96" Type="http://schemas.openxmlformats.org/officeDocument/2006/relationships/hyperlink" Target="javascript:chartPopup('BANKNIFTY',%20'OPTIDX',%20'24DEC2020',%20'23500.00','PE','NIFTY%20PSE');" TargetMode="External"/><Relationship Id="rId161" Type="http://schemas.openxmlformats.org/officeDocument/2006/relationships/hyperlink" Target="/live_market/dynaContent/live_watch/get_quote/GetQuoteFO.jsp?underlying=BANKNIFTY&amp;instrument=OPTIDX&amp;strike=25500.00&amp;type=CE&amp;expiry=24DEC2020" TargetMode="External"/><Relationship Id="rId217" Type="http://schemas.openxmlformats.org/officeDocument/2006/relationships/hyperlink" Target="javascript:chartPopup('BANKNIFTY',%20'OPTIDX',%20'24DEC2020',%20'26800.00','PE','NIFTY%20PSE');" TargetMode="External"/><Relationship Id="rId399" Type="http://schemas.openxmlformats.org/officeDocument/2006/relationships/hyperlink" Target="/live_market/dynaContent/live_watch/option_chain/optionDates.jsp?symbol=BANKNIFTY&amp;instrument=OPTIDX&amp;strike=30700.00" TargetMode="External"/><Relationship Id="rId259" Type="http://schemas.openxmlformats.org/officeDocument/2006/relationships/hyperlink" Target="/live_market/dynaContent/live_watch/option_chain/optionDates.jsp?symbol=BANKNIFTY&amp;instrument=OPTIDX&amp;strike=27800.00" TargetMode="External"/><Relationship Id="rId424" Type="http://schemas.openxmlformats.org/officeDocument/2006/relationships/hyperlink" Target="/live_market/dynaContent/live_watch/option_chain/optionDates.jsp?symbol=BANKNIFTY&amp;instrument=OPTIDX&amp;strike=31200.00" TargetMode="External"/><Relationship Id="rId466" Type="http://schemas.openxmlformats.org/officeDocument/2006/relationships/hyperlink" Target="javascript:chartPopup('BANKNIFTY',%20'OPTIDX',%20'24DEC2020',%20'32000.00','PE','NIFTY%20PSE');" TargetMode="External"/><Relationship Id="rId23" Type="http://schemas.openxmlformats.org/officeDocument/2006/relationships/hyperlink" Target="/live_market/dynaContent/live_watch/get_quote/GetQuoteFO.jsp?underlying=BANKNIFTY&amp;instrument=OPTIDX&amp;strike=21400.00&amp;type=PE&amp;expiry=24DEC2020" TargetMode="External"/><Relationship Id="rId119" Type="http://schemas.openxmlformats.org/officeDocument/2006/relationships/hyperlink" Target="javascript:chartPopup('BANKNIFTY',%20'OPTIDX',%20'24DEC2020',%20'24300.00','CE','NIFTY%20PSE');" TargetMode="External"/><Relationship Id="rId270" Type="http://schemas.openxmlformats.org/officeDocument/2006/relationships/hyperlink" Target="javascript:chartPopup('BANKNIFTY',%20'OPTIDX',%20'24DEC2020',%20'28000.00','PE','NIFTY%20PSE');" TargetMode="External"/><Relationship Id="rId326" Type="http://schemas.openxmlformats.org/officeDocument/2006/relationships/hyperlink" Target="javascript:chartPopup('BANKNIFTY',%20'OPTIDX',%20'24DEC2020',%20'29200.00','PE','NIFTY%20PSE');" TargetMode="External"/><Relationship Id="rId533" Type="http://schemas.openxmlformats.org/officeDocument/2006/relationships/hyperlink" Target="/live_market/dynaContent/live_watch/get_quote/GetQuoteFO.jsp?underlying=BANKNIFTY&amp;instrument=OPTIDX&amp;strike=33700.00&amp;type=CE&amp;expiry=24DEC2020" TargetMode="External"/><Relationship Id="rId65" Type="http://schemas.openxmlformats.org/officeDocument/2006/relationships/hyperlink" Target="/live_market/dynaContent/live_watch/option_chain/optionDates.jsp?symbol=BANKNIFTY&amp;instrument=OPTIDX&amp;strike=22600.00" TargetMode="External"/><Relationship Id="rId130" Type="http://schemas.openxmlformats.org/officeDocument/2006/relationships/hyperlink" Target="javascript:chartPopup('BANKNIFTY',%20'OPTIDX',%20'24DEC2020',%20'24600.00','CE','NIFTY%20PSE');" TargetMode="External"/><Relationship Id="rId368" Type="http://schemas.openxmlformats.org/officeDocument/2006/relationships/hyperlink" Target="/live_market/dynaContent/live_watch/get_quote/GetQuoteFO.jsp?underlying=BANKNIFTY&amp;instrument=OPTIDX&amp;strike=30100.00&amp;type=CE&amp;expiry=24DEC2020" TargetMode="External"/><Relationship Id="rId172" Type="http://schemas.openxmlformats.org/officeDocument/2006/relationships/hyperlink" Target="javascript:chartPopup('BANKNIFTY',%20'OPTIDX',%20'24DEC2020',%20'25800.00','CE','NIFTY%20PSE');" TargetMode="External"/><Relationship Id="rId228" Type="http://schemas.openxmlformats.org/officeDocument/2006/relationships/hyperlink" Target="/live_market/dynaContent/live_watch/get_quote/GetQuoteFO.jsp?underlying=BANKNIFTY&amp;instrument=OPTIDX&amp;strike=27100.00&amp;type=CE&amp;expiry=24DEC2020" TargetMode="External"/><Relationship Id="rId435" Type="http://schemas.openxmlformats.org/officeDocument/2006/relationships/hyperlink" Target="/live_market/dynaContent/live_watch/get_quote/GetQuoteFO.jsp?underlying=BANKNIFTY&amp;instrument=OPTIDX&amp;strike=31400.00&amp;type=PE&amp;expiry=24DEC2020" TargetMode="External"/><Relationship Id="rId477" Type="http://schemas.openxmlformats.org/officeDocument/2006/relationships/hyperlink" Target="/live_market/dynaContent/live_watch/option_chain/optionDates.jsp?symbol=BANKNIFTY&amp;instrument=OPTIDX&amp;strike=32300.00" TargetMode="External"/><Relationship Id="rId281" Type="http://schemas.openxmlformats.org/officeDocument/2006/relationships/hyperlink" Target="/live_market/dynaContent/live_watch/get_quote/GetQuoteFO.jsp?underlying=BANKNIFTY&amp;instrument=OPTIDX&amp;strike=28300.00&amp;type=PE&amp;expiry=24DEC2020" TargetMode="External"/><Relationship Id="rId337" Type="http://schemas.openxmlformats.org/officeDocument/2006/relationships/hyperlink" Target="javascript:chartPopup('BANKNIFTY',%20'OPTIDX',%20'24DEC2020',%20'29500.00','CE','NIFTY%20PSE');" TargetMode="External"/><Relationship Id="rId502" Type="http://schemas.openxmlformats.org/officeDocument/2006/relationships/hyperlink" Target="/live_market/dynaContent/live_watch/option_chain/optionDates.jsp?symbol=BANKNIFTY&amp;instrument=OPTIDX&amp;strike=32900.00" TargetMode="External"/><Relationship Id="rId34" Type="http://schemas.openxmlformats.org/officeDocument/2006/relationships/hyperlink" Target="javascript:chartPopup('BANKNIFTY',%20'OPTIDX',%20'24DEC2020',%20'21700.00','PE','NIFTY%20PSE');" TargetMode="External"/><Relationship Id="rId76" Type="http://schemas.openxmlformats.org/officeDocument/2006/relationships/hyperlink" Target="javascript:chartPopup('BANKNIFTY',%20'OPTIDX',%20'24DEC2020',%20'22900.00','PE','NIFTY%20PSE');" TargetMode="External"/><Relationship Id="rId141" Type="http://schemas.openxmlformats.org/officeDocument/2006/relationships/hyperlink" Target="/live_market/dynaContent/live_watch/option_chain/optionDates.jsp?symbol=BANKNIFTY&amp;instrument=OPTIDX&amp;strike=24900.00" TargetMode="External"/><Relationship Id="rId379" Type="http://schemas.openxmlformats.org/officeDocument/2006/relationships/hyperlink" Target="/live_market/dynaContent/live_watch/option_chain/optionDates.jsp?symbol=BANKNIFTY&amp;instrument=OPTIDX&amp;strike=30300.00" TargetMode="External"/><Relationship Id="rId7" Type="http://schemas.openxmlformats.org/officeDocument/2006/relationships/hyperlink" Target="/live_market/dynaContent/live_watch/option_chain/optionDates.jsp?symbol=BANKNIFTY&amp;instrument=OPTIDX&amp;strike=21000.00" TargetMode="External"/><Relationship Id="rId183" Type="http://schemas.openxmlformats.org/officeDocument/2006/relationships/hyperlink" Target="/live_market/dynaContent/live_watch/get_quote/GetQuoteFO.jsp?underlying=BANKNIFTY&amp;instrument=OPTIDX&amp;strike=26000.00&amp;type=PE&amp;expiry=24DEC2020" TargetMode="External"/><Relationship Id="rId239" Type="http://schemas.openxmlformats.org/officeDocument/2006/relationships/hyperlink" Target="javascript:chartPopup('BANKNIFTY',%20'OPTIDX',%20'24DEC2020',%20'27300.00','PE','NIFTY%20PSE');" TargetMode="External"/><Relationship Id="rId390" Type="http://schemas.openxmlformats.org/officeDocument/2006/relationships/hyperlink" Target="/live_market/dynaContent/live_watch/get_quote/GetQuoteFO.jsp?underlying=BANKNIFTY&amp;instrument=OPTIDX&amp;strike=30500.00&amp;type=PE&amp;expiry=24DEC2020" TargetMode="External"/><Relationship Id="rId404" Type="http://schemas.openxmlformats.org/officeDocument/2006/relationships/hyperlink" Target="/live_market/dynaContent/live_watch/option_chain/optionDates.jsp?symbol=BANKNIFTY&amp;instrument=OPTIDX&amp;strike=30800.00" TargetMode="External"/><Relationship Id="rId446" Type="http://schemas.openxmlformats.org/officeDocument/2006/relationships/hyperlink" Target="javascript:chartPopup('BANKNIFTY',%20'OPTIDX',%20'24DEC2020',%20'31600.00','PE','NIFTY%20PSE');" TargetMode="External"/><Relationship Id="rId250" Type="http://schemas.openxmlformats.org/officeDocument/2006/relationships/hyperlink" Target="javascript:chartPopup('BANKNIFTY',%20'OPTIDX',%20'24DEC2020',%20'27600.00','CE','NIFTY%20PSE');" TargetMode="External"/><Relationship Id="rId292" Type="http://schemas.openxmlformats.org/officeDocument/2006/relationships/hyperlink" Target="javascript:chartPopup('BANKNIFTY',%20'OPTIDX',%20'24DEC2020',%20'28600.00','CE','NIFTY%20PSE');" TargetMode="External"/><Relationship Id="rId306" Type="http://schemas.openxmlformats.org/officeDocument/2006/relationships/hyperlink" Target="javascript:chartPopup('BANKNIFTY',%20'OPTIDX',%20'24DEC2020',%20'28800.00','PE','NIFTY%20PSE');" TargetMode="External"/><Relationship Id="rId488" Type="http://schemas.openxmlformats.org/officeDocument/2006/relationships/hyperlink" Target="javascript:chartPopup('BANKNIFTY',%20'OPTIDX',%20'24DEC2020',%20'32600.00','CE','NIFTY%20PSE');" TargetMode="External"/><Relationship Id="rId45" Type="http://schemas.openxmlformats.org/officeDocument/2006/relationships/hyperlink" Target="javascript:chartPopup('BANKNIFTY',%20'OPTIDX',%20'24DEC2020',%20'22000.00','PE','NIFTY%20PSE');" TargetMode="External"/><Relationship Id="rId87" Type="http://schemas.openxmlformats.org/officeDocument/2006/relationships/hyperlink" Target="javascript:chartPopup('BANKNIFTY',%20'OPTIDX',%20'24DEC2020',%20'23300.00','CE','NIFTY%20PSE');" TargetMode="External"/><Relationship Id="rId110" Type="http://schemas.openxmlformats.org/officeDocument/2006/relationships/hyperlink" Target="/live_market/dynaContent/live_watch/option_chain/optionDates.jsp?symbol=BANKNIFTY&amp;instrument=OPTIDX&amp;strike=24000.00" TargetMode="External"/><Relationship Id="rId348" Type="http://schemas.openxmlformats.org/officeDocument/2006/relationships/hyperlink" Target="/live_market/dynaContent/live_watch/get_quote/GetQuoteFO.jsp?underlying=BANKNIFTY&amp;instrument=OPTIDX&amp;strike=29700.00&amp;type=CE&amp;expiry=24DEC2020" TargetMode="External"/><Relationship Id="rId513" Type="http://schemas.openxmlformats.org/officeDocument/2006/relationships/hyperlink" Target="/live_market/dynaContent/live_watch/get_quote/GetQuoteFO.jsp?underlying=BANKNIFTY&amp;instrument=OPTIDX&amp;strike=33200.00&amp;type=CE&amp;expiry=24DEC2020" TargetMode="External"/><Relationship Id="rId152" Type="http://schemas.openxmlformats.org/officeDocument/2006/relationships/hyperlink" Target="/live_market/dynaContent/live_watch/option_chain/optionDates.jsp?symbol=BANKNIFTY&amp;instrument=OPTIDX&amp;strike=25200.00" TargetMode="External"/><Relationship Id="rId194" Type="http://schemas.openxmlformats.org/officeDocument/2006/relationships/hyperlink" Target="/live_market/dynaContent/live_watch/option_chain/optionDates.jsp?symbol=BANKNIFTY&amp;instrument=OPTIDX&amp;strike=26300.00" TargetMode="External"/><Relationship Id="rId208" Type="http://schemas.openxmlformats.org/officeDocument/2006/relationships/hyperlink" Target="/live_market/dynaContent/live_watch/get_quote/GetQuoteFO.jsp?underlying=BANKNIFTY&amp;instrument=OPTIDX&amp;strike=26600.00&amp;type=PE&amp;expiry=24DEC2020" TargetMode="External"/><Relationship Id="rId415" Type="http://schemas.openxmlformats.org/officeDocument/2006/relationships/hyperlink" Target="/live_market/dynaContent/live_watch/get_quote/GetQuoteFO.jsp?underlying=BANKNIFTY&amp;instrument=OPTIDX&amp;strike=31000.00&amp;type=PE&amp;expiry=24DEC2020" TargetMode="External"/><Relationship Id="rId457" Type="http://schemas.openxmlformats.org/officeDocument/2006/relationships/hyperlink" Target="javascript:chartPopup('BANKNIFTY',%20'OPTIDX',%20'24DEC2020',%20'31900.00','CE','NIFTY%20PSE');" TargetMode="External"/><Relationship Id="rId261" Type="http://schemas.openxmlformats.org/officeDocument/2006/relationships/hyperlink" Target="javascript:chartPopup('BANKNIFTY',%20'OPTIDX',%20'24DEC2020',%20'27800.00','PE','NIFTY%20PSE');" TargetMode="External"/><Relationship Id="rId499" Type="http://schemas.openxmlformats.org/officeDocument/2006/relationships/hyperlink" Target="javascript:chartPopup('BANKNIFTY',%20'OPTIDX',%20'24DEC2020',%20'32800.00','PE','NIFTY%20PSE');" TargetMode="External"/><Relationship Id="rId14" Type="http://schemas.openxmlformats.org/officeDocument/2006/relationships/hyperlink" Target="javascript:chartPopup('BANKNIFTY',%20'OPTIDX',%20'24DEC2020',%20'21200.00','CE','NIFTY%20PSE');" TargetMode="External"/><Relationship Id="rId56" Type="http://schemas.openxmlformats.org/officeDocument/2006/relationships/hyperlink" Target="/live_market/dynaContent/live_watch/option_chain/optionDates.jsp?symbol=BANKNIFTY&amp;instrument=OPTIDX&amp;strike=22400.00" TargetMode="External"/><Relationship Id="rId317" Type="http://schemas.openxmlformats.org/officeDocument/2006/relationships/hyperlink" Target="javascript:chartPopup('BANKNIFTY',%20'OPTIDX',%20'24DEC2020',%20'29100.00','CE','NIFTY%20PSE');" TargetMode="External"/><Relationship Id="rId359" Type="http://schemas.openxmlformats.org/officeDocument/2006/relationships/hyperlink" Target="/live_market/dynaContent/live_watch/option_chain/optionDates.jsp?symbol=BANKNIFTY&amp;instrument=OPTIDX&amp;strike=29900.00" TargetMode="External"/><Relationship Id="rId524" Type="http://schemas.openxmlformats.org/officeDocument/2006/relationships/hyperlink" Target="javascript:chartPopup('BANKNIFTY',%20'OPTIDX',%20'24DEC2020',%20'33500.00','CE','NIFTY%20PSE');" TargetMode="External"/><Relationship Id="rId98" Type="http://schemas.openxmlformats.org/officeDocument/2006/relationships/hyperlink" Target="/live_market/dynaContent/live_watch/option_chain/optionDates.jsp?symbol=BANKNIFTY&amp;instrument=OPTIDX&amp;strike=23600.00" TargetMode="External"/><Relationship Id="rId121" Type="http://schemas.openxmlformats.org/officeDocument/2006/relationships/hyperlink" Target="javascript:chartPopup('BANKNIFTY',%20'OPTIDX',%20'24DEC2020',%20'24300.00','PE','NIFTY%20PSE');" TargetMode="External"/><Relationship Id="rId163" Type="http://schemas.openxmlformats.org/officeDocument/2006/relationships/hyperlink" Target="/live_market/dynaContent/live_watch/get_quote/GetQuoteFO.jsp?underlying=BANKNIFTY&amp;instrument=OPTIDX&amp;strike=25500.00&amp;type=PE&amp;expiry=24DEC2020" TargetMode="External"/><Relationship Id="rId219" Type="http://schemas.openxmlformats.org/officeDocument/2006/relationships/hyperlink" Target="/live_market/dynaContent/live_watch/option_chain/optionDates.jsp?symbol=BANKNIFTY&amp;instrument=OPTIDX&amp;strike=26900.00" TargetMode="External"/><Relationship Id="rId370" Type="http://schemas.openxmlformats.org/officeDocument/2006/relationships/hyperlink" Target="/live_market/dynaContent/live_watch/get_quote/GetQuoteFO.jsp?underlying=BANKNIFTY&amp;instrument=OPTIDX&amp;strike=30100.00&amp;type=PE&amp;expiry=24DEC2020" TargetMode="External"/><Relationship Id="rId426" Type="http://schemas.openxmlformats.org/officeDocument/2006/relationships/hyperlink" Target="javascript:chartPopup('BANKNIFTY',%20'OPTIDX',%20'24DEC2020',%20'31200.00','PE','NIFTY%20PSE');" TargetMode="External"/><Relationship Id="rId230" Type="http://schemas.openxmlformats.org/officeDocument/2006/relationships/hyperlink" Target="/live_market/dynaContent/live_watch/get_quote/GetQuoteFO.jsp?underlying=BANKNIFTY&amp;instrument=OPTIDX&amp;strike=27100.00&amp;type=PE&amp;expiry=24DEC2020" TargetMode="External"/><Relationship Id="rId468" Type="http://schemas.openxmlformats.org/officeDocument/2006/relationships/hyperlink" Target="/live_market/dynaContent/live_watch/get_quote/GetQuoteFO.jsp?underlying=BANKNIFTY&amp;instrument=OPTIDX&amp;strike=32100.00&amp;type=CE&amp;expiry=24DEC2020" TargetMode="External"/><Relationship Id="rId25" Type="http://schemas.openxmlformats.org/officeDocument/2006/relationships/hyperlink" Target="javascript:chartPopup('BANKNIFTY',%20'OPTIDX',%20'24DEC2020',%20'21500.00','CE','NIFTY%20PSE');" TargetMode="External"/><Relationship Id="rId67" Type="http://schemas.openxmlformats.org/officeDocument/2006/relationships/hyperlink" Target="javascript:chartPopup('BANKNIFTY',%20'OPTIDX',%20'24DEC2020',%20'22700.00','CE','NIFTY%20PSE');" TargetMode="External"/><Relationship Id="rId272" Type="http://schemas.openxmlformats.org/officeDocument/2006/relationships/hyperlink" Target="/live_market/dynaContent/live_watch/option_chain/optionDates.jsp?symbol=BANKNIFTY&amp;instrument=OPTIDX&amp;strike=28100.00" TargetMode="External"/><Relationship Id="rId328" Type="http://schemas.openxmlformats.org/officeDocument/2006/relationships/hyperlink" Target="/live_market/dynaContent/live_watch/get_quote/GetQuoteFO.jsp?underlying=BANKNIFTY&amp;instrument=OPTIDX&amp;strike=29300.00&amp;type=CE&amp;expiry=24DEC2020" TargetMode="External"/><Relationship Id="rId535" Type="http://schemas.openxmlformats.org/officeDocument/2006/relationships/hyperlink" Target="javascript:chartPopup('BANKNIFTY',%20'OPTIDX',%20'24DEC2020',%20'33700.00','PE','NIFTY%20PSE');" TargetMode="External"/><Relationship Id="rId132" Type="http://schemas.openxmlformats.org/officeDocument/2006/relationships/hyperlink" Target="javascript:chartPopup('BANKNIFTY',%20'OPTIDX',%20'24DEC2020',%20'24600.00','PE','NIFTY%20PSE');" TargetMode="External"/><Relationship Id="rId174" Type="http://schemas.openxmlformats.org/officeDocument/2006/relationships/hyperlink" Target="/live_market/dynaContent/live_watch/get_quote/GetQuoteFO.jsp?underlying=BANKNIFTY&amp;instrument=OPTIDX&amp;strike=25800.00&amp;type=PE&amp;expiry=24DEC2020" TargetMode="External"/><Relationship Id="rId381" Type="http://schemas.openxmlformats.org/officeDocument/2006/relationships/hyperlink" Target="javascript:chartPopup('BANKNIFTY',%20'OPTIDX',%20'24DEC2020',%20'30300.00','PE','NIFTY%20PSE');" TargetMode="External"/><Relationship Id="rId241" Type="http://schemas.openxmlformats.org/officeDocument/2006/relationships/hyperlink" Target="/live_market/dynaContent/live_watch/get_quote/GetQuoteFO.jsp?underlying=BANKNIFTY&amp;instrument=OPTIDX&amp;strike=27400.00&amp;type=CE&amp;expiry=24DEC2020" TargetMode="External"/><Relationship Id="rId437" Type="http://schemas.openxmlformats.org/officeDocument/2006/relationships/hyperlink" Target="javascript:chartPopup('BANKNIFTY',%20'OPTIDX',%20'24DEC2020',%20'31500.00','CE','NIFTY%20PSE');" TargetMode="External"/><Relationship Id="rId479" Type="http://schemas.openxmlformats.org/officeDocument/2006/relationships/hyperlink" Target="javascript:chartPopup('BANKNIFTY',%20'OPTIDX',%20'24DEC2020',%20'32400.00','CE','NIFTY%20PSE');" TargetMode="External"/><Relationship Id="rId36" Type="http://schemas.openxmlformats.org/officeDocument/2006/relationships/hyperlink" Target="/live_market/dynaContent/live_watch/option_chain/optionDates.jsp?symbol=BANKNIFTY&amp;instrument=OPTIDX&amp;strike=21800.00" TargetMode="External"/><Relationship Id="rId283" Type="http://schemas.openxmlformats.org/officeDocument/2006/relationships/hyperlink" Target="javascript:chartPopup('BANKNIFTY',%20'OPTIDX',%20'24DEC2020',%20'28400.00','CE','NIFTY%20PSE');" TargetMode="External"/><Relationship Id="rId339" Type="http://schemas.openxmlformats.org/officeDocument/2006/relationships/hyperlink" Target="/live_market/dynaContent/live_watch/option_chain/optionDates.jsp?symbol=BANKNIFTY&amp;instrument=OPTIDX&amp;strike=29500.00" TargetMode="External"/><Relationship Id="rId490" Type="http://schemas.openxmlformats.org/officeDocument/2006/relationships/hyperlink" Target="/live_market/dynaContent/live_watch/option_chain/optionDates.jsp?symbol=BANKNIFTY&amp;instrument=OPTIDX&amp;strike=32600.00" TargetMode="External"/><Relationship Id="rId504" Type="http://schemas.openxmlformats.org/officeDocument/2006/relationships/hyperlink" Target="javascript:chartPopup('BANKNIFTY',%20'OPTIDX',%20'24DEC2020',%20'33000.00','CE','NIFTY%20PSE');" TargetMode="External"/><Relationship Id="rId78" Type="http://schemas.openxmlformats.org/officeDocument/2006/relationships/hyperlink" Target="/live_market/dynaContent/live_watch/option_chain/optionDates.jsp?symbol=BANKNIFTY&amp;instrument=OPTIDX&amp;strike=23000.00" TargetMode="External"/><Relationship Id="rId101" Type="http://schemas.openxmlformats.org/officeDocument/2006/relationships/hyperlink" Target="/live_market/dynaContent/live_watch/option_chain/optionDates.jsp?symbol=BANKNIFTY&amp;instrument=OPTIDX&amp;strike=23700.00" TargetMode="External"/><Relationship Id="rId143" Type="http://schemas.openxmlformats.org/officeDocument/2006/relationships/hyperlink" Target="javascript:chartPopup('BANKNIFTY',%20'OPTIDX',%20'24DEC2020',%20'25000.00','CE','NIFTY%20PSE');" TargetMode="External"/><Relationship Id="rId185" Type="http://schemas.openxmlformats.org/officeDocument/2006/relationships/hyperlink" Target="javascript:chartPopup('BANKNIFTY',%20'OPTIDX',%20'24DEC2020',%20'26100.00','CE','NIFTY%20PSE');" TargetMode="External"/><Relationship Id="rId350" Type="http://schemas.openxmlformats.org/officeDocument/2006/relationships/hyperlink" Target="/live_market/dynaContent/live_watch/get_quote/GetQuoteFO.jsp?underlying=BANKNIFTY&amp;instrument=OPTIDX&amp;strike=29700.00&amp;type=PE&amp;expiry=24DEC2020" TargetMode="External"/><Relationship Id="rId406" Type="http://schemas.openxmlformats.org/officeDocument/2006/relationships/hyperlink" Target="javascript:chartPopup('BANKNIFTY',%20'OPTIDX',%20'24DEC2020',%20'30800.00','PE','NIFTY%20PSE');" TargetMode="External"/><Relationship Id="rId9" Type="http://schemas.openxmlformats.org/officeDocument/2006/relationships/hyperlink" Target="javascript:chartPopup('BANKNIFTY',%20'OPTIDX',%20'24DEC2020',%20'21000.00','PE','NIFTY%20PSE');" TargetMode="External"/><Relationship Id="rId210" Type="http://schemas.openxmlformats.org/officeDocument/2006/relationships/hyperlink" Target="javascript:chartPopup('BANKNIFTY',%20'OPTIDX',%20'24DEC2020',%20'26700.00','CE','NIFTY%20PSE');" TargetMode="External"/><Relationship Id="rId392" Type="http://schemas.openxmlformats.org/officeDocument/2006/relationships/hyperlink" Target="javascript:chartPopup('BANKNIFTY',%20'OPTIDX',%20'24DEC2020',%20'30600.00','CE','NIFTY%20PSE');" TargetMode="External"/><Relationship Id="rId448" Type="http://schemas.openxmlformats.org/officeDocument/2006/relationships/hyperlink" Target="/live_market/dynaContent/live_watch/get_quote/GetQuoteFO.jsp?underlying=BANKNIFTY&amp;instrument=OPTIDX&amp;strike=31700.00&amp;type=CE&amp;expiry=24DEC2020" TargetMode="External"/><Relationship Id="rId252" Type="http://schemas.openxmlformats.org/officeDocument/2006/relationships/hyperlink" Target="/live_market/dynaContent/live_watch/get_quote/GetQuoteFO.jsp?underlying=BANKNIFTY&amp;instrument=OPTIDX&amp;strike=27600.00&amp;type=PE&amp;expiry=24DEC2020" TargetMode="External"/><Relationship Id="rId294" Type="http://schemas.openxmlformats.org/officeDocument/2006/relationships/hyperlink" Target="/live_market/dynaContent/live_watch/option_chain/optionDates.jsp?symbol=BANKNIFTY&amp;instrument=OPTIDX&amp;strike=28600.00" TargetMode="External"/><Relationship Id="rId308" Type="http://schemas.openxmlformats.org/officeDocument/2006/relationships/hyperlink" Target="/live_market/dynaContent/live_watch/get_quote/GetQuoteFO.jsp?underlying=BANKNIFTY&amp;instrument=OPTIDX&amp;strike=28900.00&amp;type=CE&amp;expiry=24DEC2020" TargetMode="External"/><Relationship Id="rId515" Type="http://schemas.openxmlformats.org/officeDocument/2006/relationships/hyperlink" Target="javascript:chartPopup('BANKNIFTY',%20'OPTIDX',%20'24DEC2020',%20'33200.00','PE','NIFTY%20PSE');" TargetMode="External"/><Relationship Id="rId47" Type="http://schemas.openxmlformats.org/officeDocument/2006/relationships/hyperlink" Target="/live_market/dynaContent/live_watch/option_chain/optionDates.jsp?symbol=BANKNIFTY&amp;instrument=OPTIDX&amp;strike=22100.00" TargetMode="External"/><Relationship Id="rId89" Type="http://schemas.openxmlformats.org/officeDocument/2006/relationships/hyperlink" Target="javascript:chartPopup('BANKNIFTY',%20'OPTIDX',%20'24DEC2020',%20'23300.00','PE','NIFTY%20PSE');" TargetMode="External"/><Relationship Id="rId112" Type="http://schemas.openxmlformats.org/officeDocument/2006/relationships/hyperlink" Target="javascript:chartPopup('BANKNIFTY',%20'OPTIDX',%20'24DEC2020',%20'24000.00','PE','NIFTY%20PSE');" TargetMode="External"/><Relationship Id="rId154" Type="http://schemas.openxmlformats.org/officeDocument/2006/relationships/hyperlink" Target="javascript:chartPopup('BANKNIFTY',%20'OPTIDX',%20'24DEC2020',%20'25300.00','CE','NIFTY%20PSE');" TargetMode="External"/><Relationship Id="rId361" Type="http://schemas.openxmlformats.org/officeDocument/2006/relationships/hyperlink" Target="javascript:chartPopup('BANKNIFTY',%20'OPTIDX',%20'24DEC2020',%20'29900.00','PE','NIFTY%20PSE');" TargetMode="External"/><Relationship Id="rId196" Type="http://schemas.openxmlformats.org/officeDocument/2006/relationships/hyperlink" Target="javascript:chartPopup('BANKNIFTY',%20'OPTIDX',%20'24DEC2020',%20'26300.00','PE','NIFTY%20PSE');" TargetMode="External"/><Relationship Id="rId417" Type="http://schemas.openxmlformats.org/officeDocument/2006/relationships/hyperlink" Target="javascript:chartPopup('BANKNIFTY',%20'OPTIDX',%20'24DEC2020',%20'31100.00','CE','NIFTY%20PSE');" TargetMode="External"/><Relationship Id="rId459" Type="http://schemas.openxmlformats.org/officeDocument/2006/relationships/hyperlink" Target="/live_market/dynaContent/live_watch/option_chain/optionDates.jsp?symbol=BANKNIFTY&amp;instrument=OPTIDX&amp;strike=31900.00" TargetMode="External"/><Relationship Id="rId16" Type="http://schemas.openxmlformats.org/officeDocument/2006/relationships/hyperlink" Target="/live_market/dynaContent/live_watch/get_quote/GetQuoteFO.jsp?underlying=BANKNIFTY&amp;instrument=OPTIDX&amp;strike=21200.00&amp;type=PE&amp;expiry=24DEC2020" TargetMode="External"/><Relationship Id="rId221" Type="http://schemas.openxmlformats.org/officeDocument/2006/relationships/hyperlink" Target="javascript:chartPopup('BANKNIFTY',%20'OPTIDX',%20'24DEC2020',%20'26900.00','PE','NIFTY%20PSE');" TargetMode="External"/><Relationship Id="rId263" Type="http://schemas.openxmlformats.org/officeDocument/2006/relationships/hyperlink" Target="/live_market/dynaContent/live_watch/option_chain/optionDates.jsp?symbol=BANKNIFTY&amp;instrument=OPTIDX&amp;strike=27900.00" TargetMode="External"/><Relationship Id="rId319" Type="http://schemas.openxmlformats.org/officeDocument/2006/relationships/hyperlink" Target="/live_market/dynaContent/live_watch/option_chain/optionDates.jsp?symbol=BANKNIFTY&amp;instrument=OPTIDX&amp;strike=29100.00" TargetMode="External"/><Relationship Id="rId470" Type="http://schemas.openxmlformats.org/officeDocument/2006/relationships/hyperlink" Target="javascript:chartPopup('BANKNIFTY',%20'OPTIDX',%20'24DEC2020',%20'32100.00','PE','NIFTY%20PSE');" TargetMode="External"/><Relationship Id="rId526" Type="http://schemas.openxmlformats.org/officeDocument/2006/relationships/hyperlink" Target="/live_market/dynaContent/live_watch/option_chain/optionDates.jsp?symbol=BANKNIFTY&amp;instrument=OPTIDX&amp;strike=33500.00" TargetMode="External"/><Relationship Id="rId58" Type="http://schemas.openxmlformats.org/officeDocument/2006/relationships/hyperlink" Target="javascript:chartPopup('BANKNIFTY',%20'OPTIDX',%20'24DEC2020',%20'22400.00','PE','NIFTY%20PSE');" TargetMode="External"/><Relationship Id="rId123" Type="http://schemas.openxmlformats.org/officeDocument/2006/relationships/hyperlink" Target="/live_market/dynaContent/live_watch/option_chain/optionDates.jsp?symbol=BANKNIFTY&amp;instrument=OPTIDX&amp;strike=24400.00" TargetMode="External"/><Relationship Id="rId330" Type="http://schemas.openxmlformats.org/officeDocument/2006/relationships/hyperlink" Target="/live_market/dynaContent/live_watch/get_quote/GetQuoteFO.jsp?underlying=BANKNIFTY&amp;instrument=OPTIDX&amp;strike=29300.00&amp;type=PE&amp;expiry=24DEC2020" TargetMode="External"/><Relationship Id="rId165" Type="http://schemas.openxmlformats.org/officeDocument/2006/relationships/hyperlink" Target="javascript:chartPopup('BANKNIFTY',%20'OPTIDX',%20'24DEC2020',%20'25600.00','CE','NIFTY%20PSE');" TargetMode="External"/><Relationship Id="rId372" Type="http://schemas.openxmlformats.org/officeDocument/2006/relationships/hyperlink" Target="javascript:chartPopup('BANKNIFTY',%20'OPTIDX',%20'24DEC2020',%20'30200.00','CE','NIFTY%20PSE');" TargetMode="External"/><Relationship Id="rId428" Type="http://schemas.openxmlformats.org/officeDocument/2006/relationships/hyperlink" Target="/live_market/dynaContent/live_watch/get_quote/GetQuoteFO.jsp?underlying=BANKNIFTY&amp;instrument=OPTIDX&amp;strike=31300.00&amp;type=CE&amp;expiry=24DEC2020" TargetMode="External"/><Relationship Id="rId232" Type="http://schemas.openxmlformats.org/officeDocument/2006/relationships/hyperlink" Target="javascript:chartPopup('BANKNIFTY',%20'OPTIDX',%20'24DEC2020',%20'27200.00','CE','NIFTY%20PSE');" TargetMode="External"/><Relationship Id="rId274" Type="http://schemas.openxmlformats.org/officeDocument/2006/relationships/hyperlink" Target="javascript:chartPopup('BANKNIFTY',%20'OPTIDX',%20'24DEC2020',%20'28100.00','PE','NIFTY%20PSE');" TargetMode="External"/><Relationship Id="rId481" Type="http://schemas.openxmlformats.org/officeDocument/2006/relationships/hyperlink" Target="/live_market/dynaContent/live_watch/option_chain/optionDates.jsp?symbol=BANKNIFTY&amp;instrument=OPTIDX&amp;strike=32400.00" TargetMode="External"/><Relationship Id="rId27" Type="http://schemas.openxmlformats.org/officeDocument/2006/relationships/hyperlink" Target="/live_market/dynaContent/live_watch/get_quote/GetQuoteFO.jsp?underlying=BANKNIFTY&amp;instrument=OPTIDX&amp;strike=21500.00&amp;type=PE&amp;expiry=24DEC2020" TargetMode="External"/><Relationship Id="rId69" Type="http://schemas.openxmlformats.org/officeDocument/2006/relationships/hyperlink" Target="javascript:chartPopup('BANKNIFTY',%20'OPTIDX',%20'24DEC2020',%20'22700.00','PE','NIFTY%20PSE');" TargetMode="External"/><Relationship Id="rId134" Type="http://schemas.openxmlformats.org/officeDocument/2006/relationships/hyperlink" Target="/live_market/dynaContent/live_watch/option_chain/optionDates.jsp?symbol=BANKNIFTY&amp;instrument=OPTIDX&amp;strike=24700.00" TargetMode="External"/><Relationship Id="rId537" Type="http://schemas.openxmlformats.org/officeDocument/2006/relationships/hyperlink" Target="/live_market/dynaContent/live_watch/get_quote/GetQuoteFO.jsp?underlying=BANKNIFTY&amp;instrument=OPTIDX&amp;strike=33800.00&amp;type=CE&amp;expiry=24DEC2020" TargetMode="External"/><Relationship Id="rId80" Type="http://schemas.openxmlformats.org/officeDocument/2006/relationships/hyperlink" Target="javascript:chartPopup('BANKNIFTY',%20'OPTIDX',%20'24DEC2020',%20'23000.00','PE','NIFTY%20PSE');" TargetMode="External"/><Relationship Id="rId176" Type="http://schemas.openxmlformats.org/officeDocument/2006/relationships/hyperlink" Target="javascript:chartPopup('BANKNIFTY',%20'OPTIDX',%20'24DEC2020',%20'25900.00','CE','NIFTY%20PSE');" TargetMode="External"/><Relationship Id="rId341" Type="http://schemas.openxmlformats.org/officeDocument/2006/relationships/hyperlink" Target="javascript:chartPopup('BANKNIFTY',%20'OPTIDX',%20'24DEC2020',%20'29500.00','PE','NIFTY%20PSE');" TargetMode="External"/><Relationship Id="rId383" Type="http://schemas.openxmlformats.org/officeDocument/2006/relationships/hyperlink" Target="/live_market/dynaContent/live_watch/get_quote/GetQuoteFO.jsp?underlying=BANKNIFTY&amp;instrument=OPTIDX&amp;strike=30400.00&amp;type=CE&amp;expiry=24DEC2020" TargetMode="External"/><Relationship Id="rId439" Type="http://schemas.openxmlformats.org/officeDocument/2006/relationships/hyperlink" Target="/live_market/dynaContent/live_watch/option_chain/optionDates.jsp?symbol=BANKNIFTY&amp;instrument=OPTIDX&amp;strike=31500.00" TargetMode="External"/><Relationship Id="rId201" Type="http://schemas.openxmlformats.org/officeDocument/2006/relationships/hyperlink" Target="javascript:chartPopup('BANKNIFTY',%20'OPTIDX',%20'24DEC2020',%20'26500.00','CE','NIFTY%20PSE');" TargetMode="External"/><Relationship Id="rId243" Type="http://schemas.openxmlformats.org/officeDocument/2006/relationships/hyperlink" Target="/live_market/dynaContent/live_watch/get_quote/GetQuoteFO.jsp?underlying=BANKNIFTY&amp;instrument=OPTIDX&amp;strike=27400.00&amp;type=PE&amp;expiry=24DEC2020" TargetMode="External"/><Relationship Id="rId285" Type="http://schemas.openxmlformats.org/officeDocument/2006/relationships/hyperlink" Target="/live_market/dynaContent/live_watch/get_quote/GetQuoteFO.jsp?underlying=BANKNIFTY&amp;instrument=OPTIDX&amp;strike=28400.00&amp;type=PE&amp;expiry=24DEC2020" TargetMode="External"/><Relationship Id="rId450" Type="http://schemas.openxmlformats.org/officeDocument/2006/relationships/hyperlink" Target="/live_market/dynaContent/live_watch/get_quote/GetQuoteFO.jsp?underlying=BANKNIFTY&amp;instrument=OPTIDX&amp;strike=31700.00&amp;type=PE&amp;expiry=24DEC2020" TargetMode="External"/><Relationship Id="rId506" Type="http://schemas.openxmlformats.org/officeDocument/2006/relationships/hyperlink" Target="/live_market/dynaContent/live_watch/option_chain/optionDates.jsp?symbol=BANKNIFTY&amp;instrument=OPTIDX&amp;strike=33000.00" TargetMode="External"/><Relationship Id="rId38" Type="http://schemas.openxmlformats.org/officeDocument/2006/relationships/hyperlink" Target="javascript:chartPopup('BANKNIFTY',%20'OPTIDX',%20'24DEC2020',%20'21900.00','CE','NIFTY%20PSE');" TargetMode="External"/><Relationship Id="rId103" Type="http://schemas.openxmlformats.org/officeDocument/2006/relationships/hyperlink" Target="javascript:chartPopup('BANKNIFTY',%20'OPTIDX',%20'24DEC2020',%20'23800.00','CE','NIFTY%20PSE');" TargetMode="External"/><Relationship Id="rId310" Type="http://schemas.openxmlformats.org/officeDocument/2006/relationships/hyperlink" Target="/live_market/dynaContent/live_watch/get_quote/GetQuoteFO.jsp?underlying=BANKNIFTY&amp;instrument=OPTIDX&amp;strike=28900.00&amp;type=PE&amp;expiry=24DEC2020" TargetMode="External"/><Relationship Id="rId492" Type="http://schemas.openxmlformats.org/officeDocument/2006/relationships/hyperlink" Target="javascript:chartPopup('BANKNIFTY',%20'OPTIDX',%20'24DEC2020',%20'32700.00','CE','NIFTY%20PSE');" TargetMode="External"/><Relationship Id="rId91" Type="http://schemas.openxmlformats.org/officeDocument/2006/relationships/hyperlink" Target="/live_market/dynaContent/live_watch/option_chain/optionDates.jsp?symbol=BANKNIFTY&amp;instrument=OPTIDX&amp;strike=23400.00" TargetMode="External"/><Relationship Id="rId145" Type="http://schemas.openxmlformats.org/officeDocument/2006/relationships/hyperlink" Target="/live_market/dynaContent/live_watch/option_chain/optionDates.jsp?symbol=BANKNIFTY&amp;instrument=OPTIDX&amp;strike=25000.00" TargetMode="External"/><Relationship Id="rId187" Type="http://schemas.openxmlformats.org/officeDocument/2006/relationships/hyperlink" Target="/live_market/dynaContent/live_watch/get_quote/GetQuoteFO.jsp?underlying=BANKNIFTY&amp;instrument=OPTIDX&amp;strike=26100.00&amp;type=PE&amp;expiry=24DEC2020" TargetMode="External"/><Relationship Id="rId352" Type="http://schemas.openxmlformats.org/officeDocument/2006/relationships/hyperlink" Target="javascript:chartPopup('BANKNIFTY',%20'OPTIDX',%20'24DEC2020',%20'29800.00','CE','NIFTY%20PSE');" TargetMode="External"/><Relationship Id="rId394" Type="http://schemas.openxmlformats.org/officeDocument/2006/relationships/hyperlink" Target="/live_market/dynaContent/live_watch/option_chain/optionDates.jsp?symbol=BANKNIFTY&amp;instrument=OPTIDX&amp;strike=30600.00" TargetMode="External"/><Relationship Id="rId408" Type="http://schemas.openxmlformats.org/officeDocument/2006/relationships/hyperlink" Target="/live_market/dynaContent/live_watch/get_quote/GetQuoteFO.jsp?underlying=BANKNIFTY&amp;instrument=OPTIDX&amp;strike=30900.00&amp;type=CE&amp;expiry=24DEC2020" TargetMode="External"/><Relationship Id="rId212" Type="http://schemas.openxmlformats.org/officeDocument/2006/relationships/hyperlink" Target="/live_market/dynaContent/live_watch/get_quote/GetQuoteFO.jsp?underlying=BANKNIFTY&amp;instrument=OPTIDX&amp;strike=26700.00&amp;type=PE&amp;expiry=24DEC2020" TargetMode="External"/><Relationship Id="rId254" Type="http://schemas.openxmlformats.org/officeDocument/2006/relationships/hyperlink" Target="javascript:chartPopup('BANKNIFTY',%20'OPTIDX',%20'24DEC2020',%20'27700.00','CE','NIFTY%20PSE');" TargetMode="External"/><Relationship Id="rId49" Type="http://schemas.openxmlformats.org/officeDocument/2006/relationships/hyperlink" Target="javascript:chartPopup('BANKNIFTY',%20'OPTIDX',%20'24DEC2020',%20'22200.00','CE','NIFTY%20PSE');" TargetMode="External"/><Relationship Id="rId114" Type="http://schemas.openxmlformats.org/officeDocument/2006/relationships/hyperlink" Target="/live_market/dynaContent/live_watch/option_chain/optionDates.jsp?symbol=BANKNIFTY&amp;instrument=OPTIDX&amp;strike=24100.00" TargetMode="External"/><Relationship Id="rId296" Type="http://schemas.openxmlformats.org/officeDocument/2006/relationships/hyperlink" Target="javascript:chartPopup('BANKNIFTY',%20'OPTIDX',%20'24DEC2020',%20'28600.00','PE','NIFTY%20PSE');" TargetMode="External"/><Relationship Id="rId461" Type="http://schemas.openxmlformats.org/officeDocument/2006/relationships/hyperlink" Target="javascript:chartPopup('BANKNIFTY',%20'OPTIDX',%20'24DEC2020',%20'31900.00','PE','NIFTY%20PSE');" TargetMode="External"/><Relationship Id="rId517" Type="http://schemas.openxmlformats.org/officeDocument/2006/relationships/hyperlink" Target="/live_market/dynaContent/live_watch/get_quote/GetQuoteFO.jsp?underlying=BANKNIFTY&amp;instrument=OPTIDX&amp;strike=33300.00&amp;type=CE&amp;expiry=24DEC2020" TargetMode="External"/><Relationship Id="rId60" Type="http://schemas.openxmlformats.org/officeDocument/2006/relationships/hyperlink" Target="/live_market/dynaContent/live_watch/get_quote/GetQuoteFO.jsp?underlying=BANKNIFTY&amp;instrument=OPTIDX&amp;strike=22500.00&amp;type=CE&amp;expiry=24DEC2020" TargetMode="External"/><Relationship Id="rId156" Type="http://schemas.openxmlformats.org/officeDocument/2006/relationships/hyperlink" Target="javascript:chartPopup('BANKNIFTY',%20'OPTIDX',%20'24DEC2020',%20'25300.00','PE','NIFTY%20PSE');" TargetMode="External"/><Relationship Id="rId198" Type="http://schemas.openxmlformats.org/officeDocument/2006/relationships/hyperlink" Target="/live_market/dynaContent/live_watch/option_chain/optionDates.jsp?symbol=BANKNIFTY&amp;instrument=OPTIDX&amp;strike=26400.00" TargetMode="External"/><Relationship Id="rId321" Type="http://schemas.openxmlformats.org/officeDocument/2006/relationships/hyperlink" Target="javascript:chartPopup('BANKNIFTY',%20'OPTIDX',%20'24DEC2020',%20'29100.00','PE','NIFTY%20PSE');" TargetMode="External"/><Relationship Id="rId363" Type="http://schemas.openxmlformats.org/officeDocument/2006/relationships/hyperlink" Target="/live_market/dynaContent/live_watch/get_quote/GetQuoteFO.jsp?underlying=BANKNIFTY&amp;instrument=OPTIDX&amp;strike=30000.00&amp;type=CE&amp;expiry=24DEC2020" TargetMode="External"/><Relationship Id="rId419" Type="http://schemas.openxmlformats.org/officeDocument/2006/relationships/hyperlink" Target="/live_market/dynaContent/live_watch/option_chain/optionDates.jsp?symbol=BANKNIFTY&amp;instrument=OPTIDX&amp;strike=31100.00" TargetMode="External"/><Relationship Id="rId223" Type="http://schemas.openxmlformats.org/officeDocument/2006/relationships/hyperlink" Target="/live_market/dynaContent/live_watch/get_quote/GetQuoteFO.jsp?underlying=BANKNIFTY&amp;instrument=OPTIDX&amp;strike=27000.00&amp;type=CE&amp;expiry=24DEC2020" TargetMode="External"/><Relationship Id="rId430" Type="http://schemas.openxmlformats.org/officeDocument/2006/relationships/hyperlink" Target="/live_market/dynaContent/live_watch/get_quote/GetQuoteFO.jsp?underlying=BANKNIFTY&amp;instrument=OPTIDX&amp;strike=31300.00&amp;type=PE&amp;expiry=24DEC2020" TargetMode="External"/><Relationship Id="rId18" Type="http://schemas.openxmlformats.org/officeDocument/2006/relationships/hyperlink" Target="javascript:chartPopup('BANKNIFTY',%20'OPTIDX',%20'24DEC2020',%20'21300.00','CE','NIFTY%20PSE');" TargetMode="External"/><Relationship Id="rId265" Type="http://schemas.openxmlformats.org/officeDocument/2006/relationships/hyperlink" Target="javascript:chartPopup('BANKNIFTY',%20'OPTIDX',%20'24DEC2020',%20'27900.00','PE','NIFTY%20PSE');" TargetMode="External"/><Relationship Id="rId472" Type="http://schemas.openxmlformats.org/officeDocument/2006/relationships/hyperlink" Target="/live_market/dynaContent/live_watch/get_quote/GetQuoteFO.jsp?underlying=BANKNIFTY&amp;instrument=OPTIDX&amp;strike=32200.00&amp;type=CE&amp;expiry=24DEC2020" TargetMode="External"/><Relationship Id="rId528" Type="http://schemas.openxmlformats.org/officeDocument/2006/relationships/hyperlink" Target="javascript:chartPopup('BANKNIFTY',%20'OPTIDX',%20'24DEC2020',%20'33600.00','CE','NIFTY%20PSE');" TargetMode="External"/><Relationship Id="rId125" Type="http://schemas.openxmlformats.org/officeDocument/2006/relationships/hyperlink" Target="javascript:chartPopup('BANKNIFTY',%20'OPTIDX',%20'24DEC2020',%20'24400.00','PE','NIFTY%20PSE');" TargetMode="External"/><Relationship Id="rId167" Type="http://schemas.openxmlformats.org/officeDocument/2006/relationships/hyperlink" Target="javascript:chartPopup('BANKNIFTY',%20'OPTIDX',%20'24DEC2020',%20'25600.00','PE','NIFTY%20PSE');" TargetMode="External"/><Relationship Id="rId332" Type="http://schemas.openxmlformats.org/officeDocument/2006/relationships/hyperlink" Target="javascript:chartPopup('BANKNIFTY',%20'OPTIDX',%20'24DEC2020',%20'29400.00','CE','NIFTY%20PSE');" TargetMode="External"/><Relationship Id="rId374" Type="http://schemas.openxmlformats.org/officeDocument/2006/relationships/hyperlink" Target="/live_market/dynaContent/live_watch/option_chain/optionDates.jsp?symbol=BANKNIFTY&amp;instrument=OPTIDX&amp;strike=30200.00" TargetMode="External"/><Relationship Id="rId71" Type="http://schemas.openxmlformats.org/officeDocument/2006/relationships/hyperlink" Target="/live_market/dynaContent/live_watch/option_chain/optionDates.jsp?symbol=BANKNIFTY&amp;instrument=OPTIDX&amp;strike=22800.00" TargetMode="External"/><Relationship Id="rId234" Type="http://schemas.openxmlformats.org/officeDocument/2006/relationships/hyperlink" Target="/live_market/dynaContent/live_watch/get_quote/GetQuoteFO.jsp?underlying=BANKNIFTY&amp;instrument=OPTIDX&amp;strike=27200.00&amp;type=PE&amp;expiry=24DEC2020" TargetMode="External"/><Relationship Id="rId2" Type="http://schemas.openxmlformats.org/officeDocument/2006/relationships/hyperlink" Target="/live_market/dynaContent/live_watch/get_quote/GetQuoteFO.jsp?underlying=BANKNIFTY&amp;instrument=OPTIDX&amp;strike=20900.00&amp;type=CE&amp;expiry=24DEC2020" TargetMode="External"/><Relationship Id="rId29" Type="http://schemas.openxmlformats.org/officeDocument/2006/relationships/hyperlink" Target="javascript:chartPopup('BANKNIFTY',%20'OPTIDX',%20'24DEC2020',%20'21600.00','CE','NIFTY%20PSE');" TargetMode="External"/><Relationship Id="rId276" Type="http://schemas.openxmlformats.org/officeDocument/2006/relationships/hyperlink" Target="/live_market/dynaContent/live_watch/option_chain/optionDates.jsp?symbol=BANKNIFTY&amp;instrument=OPTIDX&amp;strike=28200.00" TargetMode="External"/><Relationship Id="rId441" Type="http://schemas.openxmlformats.org/officeDocument/2006/relationships/hyperlink" Target="javascript:chartPopup('BANKNIFTY',%20'OPTIDX',%20'24DEC2020',%20'31500.00','PE','NIFTY%20PSE');" TargetMode="External"/><Relationship Id="rId483" Type="http://schemas.openxmlformats.org/officeDocument/2006/relationships/hyperlink" Target="javascript:chartPopup('BANKNIFTY',%20'OPTIDX',%20'24DEC2020',%20'32500.00','CE','NIFTY%20PSE');" TargetMode="External"/><Relationship Id="rId539" Type="http://schemas.openxmlformats.org/officeDocument/2006/relationships/hyperlink" Target="javascript:chartPopup('BANKNIFTY',%20'OPTIDX',%20'24DEC2020',%20'33800.00','PE','NIFTY%20PSE');" TargetMode="External"/><Relationship Id="rId40" Type="http://schemas.openxmlformats.org/officeDocument/2006/relationships/hyperlink" Target="javascript:chartPopup('BANKNIFTY',%20'OPTIDX',%20'24DEC2020',%20'21900.00','PE','NIFTY%20PSE');" TargetMode="External"/><Relationship Id="rId136" Type="http://schemas.openxmlformats.org/officeDocument/2006/relationships/hyperlink" Target="javascript:chartPopup('BANKNIFTY',%20'OPTIDX',%20'24DEC2020',%20'24700.00','PE','NIFTY%20PSE');" TargetMode="External"/><Relationship Id="rId178" Type="http://schemas.openxmlformats.org/officeDocument/2006/relationships/hyperlink" Target="/live_market/dynaContent/live_watch/get_quote/GetQuoteFO.jsp?underlying=BANKNIFTY&amp;instrument=OPTIDX&amp;strike=25900.00&amp;type=PE&amp;expiry=24DEC2020" TargetMode="External"/><Relationship Id="rId301" Type="http://schemas.openxmlformats.org/officeDocument/2006/relationships/hyperlink" Target="javascript:chartPopup('BANKNIFTY',%20'OPTIDX',%20'24DEC2020',%20'28700.00','PE','NIFTY%20PSE');" TargetMode="External"/><Relationship Id="rId343" Type="http://schemas.openxmlformats.org/officeDocument/2006/relationships/hyperlink" Target="/live_market/dynaContent/live_watch/get_quote/GetQuoteFO.jsp?underlying=BANKNIFTY&amp;instrument=OPTIDX&amp;strike=29600.00&amp;type=CE&amp;expiry=24DEC2020" TargetMode="External"/><Relationship Id="rId82" Type="http://schemas.openxmlformats.org/officeDocument/2006/relationships/hyperlink" Target="/live_market/dynaContent/live_watch/option_chain/optionDates.jsp?symbol=BANKNIFTY&amp;instrument=OPTIDX&amp;strike=23100.00" TargetMode="External"/><Relationship Id="rId203" Type="http://schemas.openxmlformats.org/officeDocument/2006/relationships/hyperlink" Target="/live_market/dynaContent/live_watch/option_chain/optionDates.jsp?symbol=BANKNIFTY&amp;instrument=OPTIDX&amp;strike=26500.00" TargetMode="External"/><Relationship Id="rId385" Type="http://schemas.openxmlformats.org/officeDocument/2006/relationships/hyperlink" Target="/live_market/dynaContent/live_watch/get_quote/GetQuoteFO.jsp?underlying=BANKNIFTY&amp;instrument=OPTIDX&amp;strike=30400.00&amp;type=PE&amp;expiry=24DEC2020" TargetMode="External"/><Relationship Id="rId245" Type="http://schemas.openxmlformats.org/officeDocument/2006/relationships/hyperlink" Target="javascript:chartPopup('BANKNIFTY',%20'OPTIDX',%20'24DEC2020',%20'27500.00','CE','NIFTY%20PSE');" TargetMode="External"/><Relationship Id="rId287" Type="http://schemas.openxmlformats.org/officeDocument/2006/relationships/hyperlink" Target="javascript:chartPopup('BANKNIFTY',%20'OPTIDX',%20'24DEC2020',%20'28500.00','CE','NIFTY%20PSE');" TargetMode="External"/><Relationship Id="rId410" Type="http://schemas.openxmlformats.org/officeDocument/2006/relationships/hyperlink" Target="/live_market/dynaContent/live_watch/get_quote/GetQuoteFO.jsp?underlying=BANKNIFTY&amp;instrument=OPTIDX&amp;strike=30900.00&amp;type=PE&amp;expiry=24DEC2020" TargetMode="External"/><Relationship Id="rId452" Type="http://schemas.openxmlformats.org/officeDocument/2006/relationships/hyperlink" Target="javascript:chartPopup('BANKNIFTY',%20'OPTIDX',%20'24DEC2020',%20'31800.00','CE','NIFTY%20PSE');" TargetMode="External"/><Relationship Id="rId494" Type="http://schemas.openxmlformats.org/officeDocument/2006/relationships/hyperlink" Target="/live_market/dynaContent/live_watch/option_chain/optionDates.jsp?symbol=BANKNIFTY&amp;instrument=OPTIDX&amp;strike=32700.00" TargetMode="External"/><Relationship Id="rId508" Type="http://schemas.openxmlformats.org/officeDocument/2006/relationships/hyperlink" Target="javascript:chartPopup('BANKNIFTY',%20'OPTIDX',%20'24DEC2020',%20'33100.00','CE','NIFTY%20PSE');" TargetMode="External"/><Relationship Id="rId105" Type="http://schemas.openxmlformats.org/officeDocument/2006/relationships/hyperlink" Target="javascript:chartPopup('BANKNIFTY',%20'OPTIDX',%20'24DEC2020',%20'23800.00','PE','NIFTY%20PSE');" TargetMode="External"/><Relationship Id="rId147" Type="http://schemas.openxmlformats.org/officeDocument/2006/relationships/hyperlink" Target="javascript:chartPopup('BANKNIFTY',%20'OPTIDX',%20'24DEC2020',%20'25000.00','PE','NIFTY%20PSE');" TargetMode="External"/><Relationship Id="rId312" Type="http://schemas.openxmlformats.org/officeDocument/2006/relationships/hyperlink" Target="javascript:chartPopup('BANKNIFTY',%20'OPTIDX',%20'24DEC2020',%20'29000.00','CE','NIFTY%20PSE');" TargetMode="External"/><Relationship Id="rId354" Type="http://schemas.openxmlformats.org/officeDocument/2006/relationships/hyperlink" Target="/live_market/dynaContent/live_watch/option_chain/optionDates.jsp?symbol=BANKNIFTY&amp;instrument=OPTIDX&amp;strike=29800.00" TargetMode="External"/><Relationship Id="rId51" Type="http://schemas.openxmlformats.org/officeDocument/2006/relationships/hyperlink" Target="javascript:chartPopup('BANKNIFTY',%20'OPTIDX',%20'24DEC2020',%20'22200.00','PE','NIFTY%20PSE');" TargetMode="External"/><Relationship Id="rId93" Type="http://schemas.openxmlformats.org/officeDocument/2006/relationships/hyperlink" Target="javascript:chartPopup('BANKNIFTY',%20'OPTIDX',%20'24DEC2020',%20'23500.00','CE','NIFTY%20PSE');" TargetMode="External"/><Relationship Id="rId189" Type="http://schemas.openxmlformats.org/officeDocument/2006/relationships/hyperlink" Target="javascript:chartPopup('BANKNIFTY',%20'OPTIDX',%20'24DEC2020',%20'26200.00','CE','NIFTY%20PSE');" TargetMode="External"/><Relationship Id="rId396" Type="http://schemas.openxmlformats.org/officeDocument/2006/relationships/hyperlink" Target="javascript:chartPopup('BANKNIFTY',%20'OPTIDX',%20'24DEC2020',%20'30600.00','PE','NIFTY%20PSE');" TargetMode="External"/><Relationship Id="rId214" Type="http://schemas.openxmlformats.org/officeDocument/2006/relationships/hyperlink" Target="javascript:chartPopup('BANKNIFTY',%20'OPTIDX',%20'24DEC2020',%20'26800.00','CE','NIFTY%20PSE');" TargetMode="External"/><Relationship Id="rId256" Type="http://schemas.openxmlformats.org/officeDocument/2006/relationships/hyperlink" Target="/live_market/dynaContent/live_watch/get_quote/GetQuoteFO.jsp?underlying=BANKNIFTY&amp;instrument=OPTIDX&amp;strike=27700.00&amp;type=PE&amp;expiry=24DEC2020" TargetMode="External"/><Relationship Id="rId298" Type="http://schemas.openxmlformats.org/officeDocument/2006/relationships/hyperlink" Target="/live_market/dynaContent/live_watch/get_quote/GetQuoteFO.jsp?underlying=BANKNIFTY&amp;instrument=OPTIDX&amp;strike=28700.00&amp;type=CE&amp;expiry=24DEC2020" TargetMode="External"/><Relationship Id="rId421" Type="http://schemas.openxmlformats.org/officeDocument/2006/relationships/hyperlink" Target="javascript:chartPopup('BANKNIFTY',%20'OPTIDX',%20'24DEC2020',%20'31100.00','PE','NIFTY%20PSE');" TargetMode="External"/><Relationship Id="rId463" Type="http://schemas.openxmlformats.org/officeDocument/2006/relationships/hyperlink" Target="/live_market/dynaContent/live_watch/get_quote/GetQuoteFO.jsp?underlying=BANKNIFTY&amp;instrument=OPTIDX&amp;strike=32000.00&amp;type=CE&amp;expiry=24DEC2020" TargetMode="External"/><Relationship Id="rId519" Type="http://schemas.openxmlformats.org/officeDocument/2006/relationships/hyperlink" Target="javascript:chartPopup('BANKNIFTY',%20'OPTIDX',%20'24DEC2020',%20'33300.00','PE','NIFTY%20PSE');" TargetMode="External"/><Relationship Id="rId116" Type="http://schemas.openxmlformats.org/officeDocument/2006/relationships/hyperlink" Target="javascript:chartPopup('BANKNIFTY',%20'OPTIDX',%20'24DEC2020',%20'24200.00','CE','NIFTY%20PSE');" TargetMode="External"/><Relationship Id="rId158" Type="http://schemas.openxmlformats.org/officeDocument/2006/relationships/hyperlink" Target="/live_market/dynaContent/live_watch/option_chain/optionDates.jsp?symbol=BANKNIFTY&amp;instrument=OPTIDX&amp;strike=25400.00" TargetMode="External"/><Relationship Id="rId323" Type="http://schemas.openxmlformats.org/officeDocument/2006/relationships/hyperlink" Target="/live_market/dynaContent/live_watch/get_quote/GetQuoteFO.jsp?underlying=BANKNIFTY&amp;instrument=OPTIDX&amp;strike=29200.00&amp;type=CE&amp;expiry=24DEC2020" TargetMode="External"/><Relationship Id="rId530" Type="http://schemas.openxmlformats.org/officeDocument/2006/relationships/hyperlink" Target="/live_market/dynaContent/live_watch/option_chain/optionDates.jsp?symbol=BANKNIFTY&amp;instrument=OPTIDX&amp;strike=33600.00" TargetMode="External"/><Relationship Id="rId20" Type="http://schemas.openxmlformats.org/officeDocument/2006/relationships/hyperlink" Target="javascript:chartPopup('BANKNIFTY',%20'OPTIDX',%20'24DEC2020',%20'21300.00','PE','NIFTY%20PSE');" TargetMode="External"/><Relationship Id="rId62" Type="http://schemas.openxmlformats.org/officeDocument/2006/relationships/hyperlink" Target="/live_market/dynaContent/live_watch/get_quote/GetQuoteFO.jsp?underlying=BANKNIFTY&amp;instrument=OPTIDX&amp;strike=22500.00&amp;type=PE&amp;expiry=24DEC2020" TargetMode="External"/><Relationship Id="rId365" Type="http://schemas.openxmlformats.org/officeDocument/2006/relationships/hyperlink" Target="/live_market/dynaContent/live_watch/get_quote/GetQuoteFO.jsp?underlying=BANKNIFTY&amp;instrument=OPTIDX&amp;strike=30000.00&amp;type=PE&amp;expiry=24DEC2020" TargetMode="External"/><Relationship Id="rId225" Type="http://schemas.openxmlformats.org/officeDocument/2006/relationships/hyperlink" Target="/live_market/dynaContent/live_watch/get_quote/GetQuoteFO.jsp?underlying=BANKNIFTY&amp;instrument=OPTIDX&amp;strike=27000.00&amp;type=PE&amp;expiry=24DEC2020" TargetMode="External"/><Relationship Id="rId267" Type="http://schemas.openxmlformats.org/officeDocument/2006/relationships/hyperlink" Target="/live_market/dynaContent/live_watch/get_quote/GetQuoteFO.jsp?underlying=BANKNIFTY&amp;instrument=OPTIDX&amp;strike=28000.00&amp;type=CE&amp;expiry=24DEC2020" TargetMode="External"/><Relationship Id="rId432" Type="http://schemas.openxmlformats.org/officeDocument/2006/relationships/hyperlink" Target="javascript:chartPopup('BANKNIFTY',%20'OPTIDX',%20'24DEC2020',%20'31400.00','CE','NIFTY%20PSE');" TargetMode="External"/><Relationship Id="rId474" Type="http://schemas.openxmlformats.org/officeDocument/2006/relationships/hyperlink" Target="javascript:chartPopup('BANKNIFTY',%20'OPTIDX',%20'24DEC2020',%20'32200.00','PE','NIFTY%20PSE');" TargetMode="External"/><Relationship Id="rId127" Type="http://schemas.openxmlformats.org/officeDocument/2006/relationships/hyperlink" Target="/live_market/dynaContent/live_watch/option_chain/optionDates.jsp?symbol=BANKNIFTY&amp;instrument=OPTIDX&amp;strike=24500.00" TargetMode="External"/><Relationship Id="rId31" Type="http://schemas.openxmlformats.org/officeDocument/2006/relationships/hyperlink" Target="javascript:chartPopup('BANKNIFTY',%20'OPTIDX',%20'24DEC2020',%20'21600.00','PE','NIFTY%20PSE');" TargetMode="External"/><Relationship Id="rId73" Type="http://schemas.openxmlformats.org/officeDocument/2006/relationships/hyperlink" Target="javascript:chartPopup('BANKNIFTY',%20'OPTIDX',%20'24DEC2020',%20'22900.00','CE','NIFTY%20PSE');" TargetMode="External"/><Relationship Id="rId169" Type="http://schemas.openxmlformats.org/officeDocument/2006/relationships/hyperlink" Target="/live_market/dynaContent/live_watch/option_chain/optionDates.jsp?symbol=BANKNIFTY&amp;instrument=OPTIDX&amp;strike=25700.00" TargetMode="External"/><Relationship Id="rId334" Type="http://schemas.openxmlformats.org/officeDocument/2006/relationships/hyperlink" Target="/live_market/dynaContent/live_watch/option_chain/optionDates.jsp?symbol=BANKNIFTY&amp;instrument=OPTIDX&amp;strike=29400.00" TargetMode="External"/><Relationship Id="rId376" Type="http://schemas.openxmlformats.org/officeDocument/2006/relationships/hyperlink" Target="javascript:chartPopup('BANKNIFTY',%20'OPTIDX',%20'24DEC2020',%20'30200.00','PE','NIFTY%20PSE');" TargetMode="External"/><Relationship Id="rId4" Type="http://schemas.openxmlformats.org/officeDocument/2006/relationships/hyperlink" Target="/live_market/dynaContent/live_watch/get_quote/GetQuoteFO.jsp?underlying=BANKNIFTY&amp;instrument=OPTIDX&amp;strike=20900.00&amp;type=PE&amp;expiry=24DEC2020" TargetMode="External"/><Relationship Id="rId180" Type="http://schemas.openxmlformats.org/officeDocument/2006/relationships/hyperlink" Target="javascript:chartPopup('BANKNIFTY',%20'OPTIDX',%20'24DEC2020',%20'26000.00','CE','NIFTY%20PSE');" TargetMode="External"/><Relationship Id="rId236" Type="http://schemas.openxmlformats.org/officeDocument/2006/relationships/hyperlink" Target="javascript:chartPopup('BANKNIFTY',%20'OPTIDX',%20'24DEC2020',%20'27300.00','CE','NIFTY%20PSE');" TargetMode="External"/><Relationship Id="rId278" Type="http://schemas.openxmlformats.org/officeDocument/2006/relationships/hyperlink" Target="javascript:chartPopup('BANKNIFTY',%20'OPTIDX',%20'24DEC2020',%20'28200.00','PE','NIFTY%20PSE');" TargetMode="External"/><Relationship Id="rId401" Type="http://schemas.openxmlformats.org/officeDocument/2006/relationships/hyperlink" Target="javascript:chartPopup('BANKNIFTY',%20'OPTIDX',%20'24DEC2020',%20'30700.00','PE','NIFTY%20PSE');" TargetMode="External"/><Relationship Id="rId443" Type="http://schemas.openxmlformats.org/officeDocument/2006/relationships/hyperlink" Target="/live_market/dynaContent/live_watch/get_quote/GetQuoteFO.jsp?underlying=BANKNIFTY&amp;instrument=OPTIDX&amp;strike=31600.00&amp;type=CE&amp;expiry=24DEC2020" TargetMode="External"/><Relationship Id="rId303" Type="http://schemas.openxmlformats.org/officeDocument/2006/relationships/hyperlink" Target="/live_market/dynaContent/live_watch/get_quote/GetQuoteFO.jsp?underlying=BANKNIFTY&amp;instrument=OPTIDX&amp;strike=28800.00&amp;type=CE&amp;expiry=24DEC2020" TargetMode="External"/><Relationship Id="rId485" Type="http://schemas.openxmlformats.org/officeDocument/2006/relationships/hyperlink" Target="/live_market/dynaContent/live_watch/option_chain/optionDates.jsp?symbol=BANKNIFTY&amp;instrument=OPTIDX&amp;strike=32500.00" TargetMode="External"/><Relationship Id="rId42" Type="http://schemas.openxmlformats.org/officeDocument/2006/relationships/hyperlink" Target="/live_market/dynaContent/live_watch/get_quote/GetQuoteFO.jsp?underlying=BANKNIFTY&amp;instrument=OPTIDX&amp;strike=22000.00&amp;type=CE&amp;expiry=24DEC2020" TargetMode="External"/><Relationship Id="rId84" Type="http://schemas.openxmlformats.org/officeDocument/2006/relationships/hyperlink" Target="javascript:chartPopup('BANKNIFTY',%20'OPTIDX',%20'24DEC2020',%20'23200.00','CE','NIFTY%20PSE');" TargetMode="External"/><Relationship Id="rId138" Type="http://schemas.openxmlformats.org/officeDocument/2006/relationships/hyperlink" Target="/live_market/dynaContent/live_watch/option_chain/optionDates.jsp?symbol=BANKNIFTY&amp;instrument=OPTIDX&amp;strike=24800.00" TargetMode="External"/><Relationship Id="rId345" Type="http://schemas.openxmlformats.org/officeDocument/2006/relationships/hyperlink" Target="/live_market/dynaContent/live_watch/get_quote/GetQuoteFO.jsp?underlying=BANKNIFTY&amp;instrument=OPTIDX&amp;strike=29600.00&amp;type=PE&amp;expiry=24DEC2020" TargetMode="External"/><Relationship Id="rId387" Type="http://schemas.openxmlformats.org/officeDocument/2006/relationships/hyperlink" Target="javascript:chartPopup('BANKNIFTY',%20'OPTIDX',%20'24DEC2020',%20'30500.00','CE','NIFTY%20PSE');" TargetMode="External"/><Relationship Id="rId510" Type="http://schemas.openxmlformats.org/officeDocument/2006/relationships/hyperlink" Target="/live_market/dynaContent/live_watch/option_chain/optionDates.jsp?symbol=BANKNIFTY&amp;instrument=OPTIDX&amp;strike=33100.00" TargetMode="External"/><Relationship Id="rId191" Type="http://schemas.openxmlformats.org/officeDocument/2006/relationships/hyperlink" Target="/live_market/dynaContent/live_watch/get_quote/GetQuoteFO.jsp?underlying=BANKNIFTY&amp;instrument=OPTIDX&amp;strike=26200.00&amp;type=PE&amp;expiry=24DEC2020" TargetMode="External"/><Relationship Id="rId205" Type="http://schemas.openxmlformats.org/officeDocument/2006/relationships/hyperlink" Target="javascript:chartPopup('BANKNIFTY',%20'OPTIDX',%20'24DEC2020',%20'26500.00','PE','NIFTY%20PSE');" TargetMode="External"/><Relationship Id="rId247" Type="http://schemas.openxmlformats.org/officeDocument/2006/relationships/hyperlink" Target="/live_market/dynaContent/live_watch/option_chain/optionDates.jsp?symbol=BANKNIFTY&amp;instrument=OPTIDX&amp;strike=27500.00" TargetMode="External"/><Relationship Id="rId412" Type="http://schemas.openxmlformats.org/officeDocument/2006/relationships/hyperlink" Target="javascript:chartPopup('BANKNIFTY',%20'OPTIDX',%20'24DEC2020',%20'31000.00','CE','NIFTY%20PSE');" TargetMode="External"/><Relationship Id="rId107" Type="http://schemas.openxmlformats.org/officeDocument/2006/relationships/hyperlink" Target="/live_market/dynaContent/live_watch/option_chain/optionDates.jsp?symbol=BANKNIFTY&amp;instrument=OPTIDX&amp;strike=23900.00" TargetMode="External"/><Relationship Id="rId289" Type="http://schemas.openxmlformats.org/officeDocument/2006/relationships/hyperlink" Target="/live_market/dynaContent/live_watch/option_chain/optionDates.jsp?symbol=BANKNIFTY&amp;instrument=OPTIDX&amp;strike=28500.00" TargetMode="External"/><Relationship Id="rId454" Type="http://schemas.openxmlformats.org/officeDocument/2006/relationships/hyperlink" Target="/live_market/dynaContent/live_watch/option_chain/optionDates.jsp?symbol=BANKNIFTY&amp;instrument=OPTIDX&amp;strike=31800.00" TargetMode="External"/><Relationship Id="rId496" Type="http://schemas.openxmlformats.org/officeDocument/2006/relationships/hyperlink" Target="javascript:chartPopup('BANKNIFTY',%20'OPTIDX',%20'24DEC2020',%20'32800.00','CE','NIFTY%20PSE');" TargetMode="External"/><Relationship Id="rId11" Type="http://schemas.openxmlformats.org/officeDocument/2006/relationships/hyperlink" Target="/live_market/dynaContent/live_watch/option_chain/optionDates.jsp?symbol=BANKNIFTY&amp;instrument=OPTIDX&amp;strike=21100.00" TargetMode="External"/><Relationship Id="rId53" Type="http://schemas.openxmlformats.org/officeDocument/2006/relationships/hyperlink" Target="/live_market/dynaContent/live_watch/option_chain/optionDates.jsp?symbol=BANKNIFTY&amp;instrument=OPTIDX&amp;strike=22300.00" TargetMode="External"/><Relationship Id="rId149" Type="http://schemas.openxmlformats.org/officeDocument/2006/relationships/hyperlink" Target="/live_market/dynaContent/live_watch/option_chain/optionDates.jsp?symbol=BANKNIFTY&amp;instrument=OPTIDX&amp;strike=25100.00" TargetMode="External"/><Relationship Id="rId314" Type="http://schemas.openxmlformats.org/officeDocument/2006/relationships/hyperlink" Target="/live_market/dynaContent/live_watch/option_chain/optionDates.jsp?symbol=BANKNIFTY&amp;instrument=OPTIDX&amp;strike=29000.00" TargetMode="External"/><Relationship Id="rId356" Type="http://schemas.openxmlformats.org/officeDocument/2006/relationships/hyperlink" Target="javascript:chartPopup('BANKNIFTY',%20'OPTIDX',%20'24DEC2020',%20'29800.00','PE','NIFTY%20PSE');" TargetMode="External"/><Relationship Id="rId398" Type="http://schemas.openxmlformats.org/officeDocument/2006/relationships/hyperlink" Target="/live_market/dynaContent/live_watch/get_quote/GetQuoteFO.jsp?underlying=BANKNIFTY&amp;instrument=OPTIDX&amp;strike=30700.00&amp;type=CE&amp;expiry=24DEC2020" TargetMode="External"/><Relationship Id="rId521" Type="http://schemas.openxmlformats.org/officeDocument/2006/relationships/hyperlink" Target="/live_market/dynaContent/live_watch/get_quote/GetQuoteFO.jsp?underlying=BANKNIFTY&amp;instrument=OPTIDX&amp;strike=33400.00&amp;type=CE&amp;expiry=24DEC2020" TargetMode="External"/><Relationship Id="rId95" Type="http://schemas.openxmlformats.org/officeDocument/2006/relationships/hyperlink" Target="/live_market/dynaContent/live_watch/get_quote/GetQuoteFO.jsp?underlying=BANKNIFTY&amp;instrument=OPTIDX&amp;strike=23500.00&amp;type=PE&amp;expiry=24DEC2020" TargetMode="External"/><Relationship Id="rId160" Type="http://schemas.openxmlformats.org/officeDocument/2006/relationships/hyperlink" Target="javascript:chartPopup('BANKNIFTY',%20'OPTIDX',%20'24DEC2020',%20'25500.00','CE','NIFTY%20PSE');" TargetMode="External"/><Relationship Id="rId216" Type="http://schemas.openxmlformats.org/officeDocument/2006/relationships/hyperlink" Target="/live_market/dynaContent/live_watch/get_quote/GetQuoteFO.jsp?underlying=BANKNIFTY&amp;instrument=OPTIDX&amp;strike=26800.00&amp;type=PE&amp;expiry=24DEC2020" TargetMode="External"/><Relationship Id="rId423" Type="http://schemas.openxmlformats.org/officeDocument/2006/relationships/hyperlink" Target="/live_market/dynaContent/live_watch/get_quote/GetQuoteFO.jsp?underlying=BANKNIFTY&amp;instrument=OPTIDX&amp;strike=31200.00&amp;type=CE&amp;expiry=24DEC2020" TargetMode="External"/><Relationship Id="rId258" Type="http://schemas.openxmlformats.org/officeDocument/2006/relationships/hyperlink" Target="javascript:chartPopup('BANKNIFTY',%20'OPTIDX',%20'24DEC2020',%20'27800.00','CE','NIFTY%20PSE');" TargetMode="External"/><Relationship Id="rId465" Type="http://schemas.openxmlformats.org/officeDocument/2006/relationships/hyperlink" Target="/live_market/dynaContent/live_watch/get_quote/GetQuoteFO.jsp?underlying=BANKNIFTY&amp;instrument=OPTIDX&amp;strike=32000.00&amp;type=PE&amp;expiry=24DEC2020" TargetMode="External"/><Relationship Id="rId22" Type="http://schemas.openxmlformats.org/officeDocument/2006/relationships/hyperlink" Target="/live_market/dynaContent/live_watch/option_chain/optionDates.jsp?symbol=BANKNIFTY&amp;instrument=OPTIDX&amp;strike=21400.00" TargetMode="External"/><Relationship Id="rId64" Type="http://schemas.openxmlformats.org/officeDocument/2006/relationships/hyperlink" Target="javascript:chartPopup('BANKNIFTY',%20'OPTIDX',%20'24DEC2020',%20'22600.00','CE','NIFTY%20PSE');" TargetMode="External"/><Relationship Id="rId118" Type="http://schemas.openxmlformats.org/officeDocument/2006/relationships/hyperlink" Target="javascript:chartPopup('BANKNIFTY',%20'OPTIDX',%20'24DEC2020',%20'24200.00','PE','NIFTY%20PSE');" TargetMode="External"/><Relationship Id="rId325" Type="http://schemas.openxmlformats.org/officeDocument/2006/relationships/hyperlink" Target="/live_market/dynaContent/live_watch/get_quote/GetQuoteFO.jsp?underlying=BANKNIFTY&amp;instrument=OPTIDX&amp;strike=29200.00&amp;type=PE&amp;expiry=24DEC2020" TargetMode="External"/><Relationship Id="rId367" Type="http://schemas.openxmlformats.org/officeDocument/2006/relationships/hyperlink" Target="javascript:chartPopup('BANKNIFTY',%20'OPTIDX',%20'24DEC2020',%20'30100.00','CE','NIFTY%20PSE');" TargetMode="External"/><Relationship Id="rId532" Type="http://schemas.openxmlformats.org/officeDocument/2006/relationships/hyperlink" Target="javascript:chartPopup('BANKNIFTY',%20'OPTIDX',%20'24DEC2020',%20'33700.00','CE','NIFTY%20PSE');" TargetMode="External"/><Relationship Id="rId171" Type="http://schemas.openxmlformats.org/officeDocument/2006/relationships/hyperlink" Target="javascript:chartPopup('BANKNIFTY',%20'OPTIDX',%20'24DEC2020',%20'25700.00','PE','NIFTY%20PSE');" TargetMode="External"/><Relationship Id="rId227" Type="http://schemas.openxmlformats.org/officeDocument/2006/relationships/hyperlink" Target="javascript:chartPopup('BANKNIFTY',%20'OPTIDX',%20'24DEC2020',%20'27100.00','CE','NIFTY%20PSE');" TargetMode="External"/><Relationship Id="rId269" Type="http://schemas.openxmlformats.org/officeDocument/2006/relationships/hyperlink" Target="/live_market/dynaContent/live_watch/get_quote/GetQuoteFO.jsp?underlying=BANKNIFTY&amp;instrument=OPTIDX&amp;strike=28000.00&amp;type=PE&amp;expiry=24DEC2020" TargetMode="External"/><Relationship Id="rId434" Type="http://schemas.openxmlformats.org/officeDocument/2006/relationships/hyperlink" Target="/live_market/dynaContent/live_watch/option_chain/optionDates.jsp?symbol=BANKNIFTY&amp;instrument=OPTIDX&amp;strike=31400.00" TargetMode="External"/><Relationship Id="rId476" Type="http://schemas.openxmlformats.org/officeDocument/2006/relationships/hyperlink" Target="/live_market/dynaContent/live_watch/get_quote/GetQuoteFO.jsp?underlying=BANKNIFTY&amp;instrument=OPTIDX&amp;strike=32300.00&amp;type=CE&amp;expiry=24DEC2020" TargetMode="External"/><Relationship Id="rId33" Type="http://schemas.openxmlformats.org/officeDocument/2006/relationships/hyperlink" Target="/live_market/dynaContent/live_watch/option_chain/optionDates.jsp?symbol=BANKNIFTY&amp;instrument=OPTIDX&amp;strike=21700.00" TargetMode="External"/><Relationship Id="rId129" Type="http://schemas.openxmlformats.org/officeDocument/2006/relationships/hyperlink" Target="javascript:chartPopup('BANKNIFTY',%20'OPTIDX',%20'24DEC2020',%20'24500.00','PE','NIFTY%20PSE');" TargetMode="External"/><Relationship Id="rId280" Type="http://schemas.openxmlformats.org/officeDocument/2006/relationships/hyperlink" Target="/live_market/dynaContent/live_watch/option_chain/optionDates.jsp?symbol=BANKNIFTY&amp;instrument=OPTIDX&amp;strike=28300.00" TargetMode="External"/><Relationship Id="rId336" Type="http://schemas.openxmlformats.org/officeDocument/2006/relationships/hyperlink" Target="javascript:chartPopup('BANKNIFTY',%20'OPTIDX',%20'24DEC2020',%20'29400.00','PE','NIFTY%20PSE');" TargetMode="External"/><Relationship Id="rId501" Type="http://schemas.openxmlformats.org/officeDocument/2006/relationships/hyperlink" Target="/live_market/dynaContent/live_watch/get_quote/GetQuoteFO.jsp?underlying=BANKNIFTY&amp;instrument=OPTIDX&amp;strike=32900.00&amp;type=CE&amp;expiry=24DEC2020" TargetMode="External"/><Relationship Id="rId75" Type="http://schemas.openxmlformats.org/officeDocument/2006/relationships/hyperlink" Target="/live_market/dynaContent/live_watch/get_quote/GetQuoteFO.jsp?underlying=BANKNIFTY&amp;instrument=OPTIDX&amp;strike=22900.00&amp;type=PE&amp;expiry=24DEC2020" TargetMode="External"/><Relationship Id="rId140" Type="http://schemas.openxmlformats.org/officeDocument/2006/relationships/hyperlink" Target="javascript:chartPopup('BANKNIFTY',%20'OPTIDX',%20'24DEC2020',%20'24900.00','CE','NIFTY%20PSE');" TargetMode="External"/><Relationship Id="rId182" Type="http://schemas.openxmlformats.org/officeDocument/2006/relationships/hyperlink" Target="/live_market/dynaContent/live_watch/option_chain/optionDates.jsp?symbol=BANKNIFTY&amp;instrument=OPTIDX&amp;strike=26000.00" TargetMode="External"/><Relationship Id="rId378" Type="http://schemas.openxmlformats.org/officeDocument/2006/relationships/hyperlink" Target="/live_market/dynaContent/live_watch/get_quote/GetQuoteFO.jsp?underlying=BANKNIFTY&amp;instrument=OPTIDX&amp;strike=30300.00&amp;type=CE&amp;expiry=24DEC2020" TargetMode="External"/><Relationship Id="rId403" Type="http://schemas.openxmlformats.org/officeDocument/2006/relationships/hyperlink" Target="/live_market/dynaContent/live_watch/get_quote/GetQuoteFO.jsp?underlying=BANKNIFTY&amp;instrument=OPTIDX&amp;strike=30800.00&amp;type=CE&amp;expiry=24DEC2020" TargetMode="External"/><Relationship Id="rId6" Type="http://schemas.openxmlformats.org/officeDocument/2006/relationships/hyperlink" Target="javascript:chartPopup('BANKNIFTY',%20'OPTIDX',%20'24DEC2020',%20'21000.00','CE','NIFTY%20PSE');" TargetMode="External"/><Relationship Id="rId238" Type="http://schemas.openxmlformats.org/officeDocument/2006/relationships/hyperlink" Target="/live_market/dynaContent/live_watch/get_quote/GetQuoteFO.jsp?underlying=BANKNIFTY&amp;instrument=OPTIDX&amp;strike=27300.00&amp;type=PE&amp;expiry=24DEC2020" TargetMode="External"/><Relationship Id="rId445" Type="http://schemas.openxmlformats.org/officeDocument/2006/relationships/hyperlink" Target="/live_market/dynaContent/live_watch/get_quote/GetQuoteFO.jsp?underlying=BANKNIFTY&amp;instrument=OPTIDX&amp;strike=31600.00&amp;type=PE&amp;expiry=24DEC2020" TargetMode="External"/><Relationship Id="rId487" Type="http://schemas.openxmlformats.org/officeDocument/2006/relationships/hyperlink" Target="javascript:chartPopup('BANKNIFTY',%20'OPTIDX',%20'24DEC2020',%20'32500.00','PE','NIFTY%20PSE');" TargetMode="External"/><Relationship Id="rId291" Type="http://schemas.openxmlformats.org/officeDocument/2006/relationships/hyperlink" Target="javascript:chartPopup('BANKNIFTY',%20'OPTIDX',%20'24DEC2020',%20'28500.00','PE','NIFTY%20PSE');" TargetMode="External"/><Relationship Id="rId305" Type="http://schemas.openxmlformats.org/officeDocument/2006/relationships/hyperlink" Target="/live_market/dynaContent/live_watch/get_quote/GetQuoteFO.jsp?underlying=BANKNIFTY&amp;instrument=OPTIDX&amp;strike=28800.00&amp;type=PE&amp;expiry=24DEC2020" TargetMode="External"/><Relationship Id="rId347" Type="http://schemas.openxmlformats.org/officeDocument/2006/relationships/hyperlink" Target="javascript:chartPopup('BANKNIFTY',%20'OPTIDX',%20'24DEC2020',%20'29700.00','CE','NIFTY%20PSE');" TargetMode="External"/><Relationship Id="rId512" Type="http://schemas.openxmlformats.org/officeDocument/2006/relationships/hyperlink" Target="javascript:chartPopup('BANKNIFTY',%20'OPTIDX',%20'24DEC2020',%20'33200.00','CE','NIFTY%20PSE');" TargetMode="External"/><Relationship Id="rId44" Type="http://schemas.openxmlformats.org/officeDocument/2006/relationships/hyperlink" Target="/live_market/dynaContent/live_watch/get_quote/GetQuoteFO.jsp?underlying=BANKNIFTY&amp;instrument=OPTIDX&amp;strike=22000.00&amp;type=PE&amp;expiry=24DEC2020" TargetMode="External"/><Relationship Id="rId86" Type="http://schemas.openxmlformats.org/officeDocument/2006/relationships/hyperlink" Target="javascript:chartPopup('BANKNIFTY',%20'OPTIDX',%20'24DEC2020',%20'23200.00','PE','NIFTY%20PSE');" TargetMode="External"/><Relationship Id="rId151" Type="http://schemas.openxmlformats.org/officeDocument/2006/relationships/hyperlink" Target="javascript:chartPopup('BANKNIFTY',%20'OPTIDX',%20'24DEC2020',%20'25200.00','CE','NIFTY%20PSE');" TargetMode="External"/><Relationship Id="rId389" Type="http://schemas.openxmlformats.org/officeDocument/2006/relationships/hyperlink" Target="/live_market/dynaContent/live_watch/option_chain/optionDates.jsp?symbol=BANKNIFTY&amp;instrument=OPTIDX&amp;strike=30500.00" TargetMode="External"/><Relationship Id="rId193" Type="http://schemas.openxmlformats.org/officeDocument/2006/relationships/hyperlink" Target="javascript:chartPopup('BANKNIFTY',%20'OPTIDX',%20'24DEC2020',%20'26300.00','CE','NIFTY%20PSE');" TargetMode="External"/><Relationship Id="rId207" Type="http://schemas.openxmlformats.org/officeDocument/2006/relationships/hyperlink" Target="/live_market/dynaContent/live_watch/option_chain/optionDates.jsp?symbol=BANKNIFTY&amp;instrument=OPTIDX&amp;strike=26600.00" TargetMode="External"/><Relationship Id="rId249" Type="http://schemas.openxmlformats.org/officeDocument/2006/relationships/hyperlink" Target="javascript:chartPopup('BANKNIFTY',%20'OPTIDX',%20'24DEC2020',%20'27500.00','PE','NIFTY%20PSE');" TargetMode="External"/><Relationship Id="rId414" Type="http://schemas.openxmlformats.org/officeDocument/2006/relationships/hyperlink" Target="/live_market/dynaContent/live_watch/option_chain/optionDates.jsp?symbol=BANKNIFTY&amp;instrument=OPTIDX&amp;strike=31000.00" TargetMode="External"/><Relationship Id="rId456" Type="http://schemas.openxmlformats.org/officeDocument/2006/relationships/hyperlink" Target="javascript:chartPopup('BANKNIFTY',%20'OPTIDX',%20'24DEC2020',%20'31800.00','PE','NIFTY%20PSE');" TargetMode="External"/><Relationship Id="rId498" Type="http://schemas.openxmlformats.org/officeDocument/2006/relationships/hyperlink" Target="/live_market/dynaContent/live_watch/option_chain/optionDates.jsp?symbol=BANKNIFTY&amp;instrument=OPTIDX&amp;strike=32800.00" TargetMode="External"/><Relationship Id="rId13" Type="http://schemas.openxmlformats.org/officeDocument/2006/relationships/hyperlink" Target="javascript:chartPopup('BANKNIFTY',%20'OPTIDX',%20'24DEC2020',%20'21100.00','PE','NIFTY%20PSE');" TargetMode="External"/><Relationship Id="rId109" Type="http://schemas.openxmlformats.org/officeDocument/2006/relationships/hyperlink" Target="javascript:chartPopup('BANKNIFTY',%20'OPTIDX',%20'24DEC2020',%20'24000.00','CE','NIFTY%20PSE');" TargetMode="External"/><Relationship Id="rId260" Type="http://schemas.openxmlformats.org/officeDocument/2006/relationships/hyperlink" Target="/live_market/dynaContent/live_watch/get_quote/GetQuoteFO.jsp?underlying=BANKNIFTY&amp;instrument=OPTIDX&amp;strike=27800.00&amp;type=PE&amp;expiry=24DEC2020" TargetMode="External"/><Relationship Id="rId316" Type="http://schemas.openxmlformats.org/officeDocument/2006/relationships/hyperlink" Target="javascript:chartPopup('BANKNIFTY',%20'OPTIDX',%20'24DEC2020',%20'29000.00','PE','NIFTY%20PSE');" TargetMode="External"/><Relationship Id="rId523" Type="http://schemas.openxmlformats.org/officeDocument/2006/relationships/hyperlink" Target="javascript:chartPopup('BANKNIFTY',%20'OPTIDX',%20'24DEC2020',%20'33400.00','PE','NIFTY%20PSE');" TargetMode="External"/><Relationship Id="rId55" Type="http://schemas.openxmlformats.org/officeDocument/2006/relationships/hyperlink" Target="javascript:chartPopup('BANKNIFTY',%20'OPTIDX',%20'24DEC2020',%20'22400.00','CE','NIFTY%20PSE');" TargetMode="External"/><Relationship Id="rId97" Type="http://schemas.openxmlformats.org/officeDocument/2006/relationships/hyperlink" Target="javascript:chartPopup('BANKNIFTY',%20'OPTIDX',%20'24DEC2020',%20'23600.00','CE','NIFTY%20PSE');" TargetMode="External"/><Relationship Id="rId120" Type="http://schemas.openxmlformats.org/officeDocument/2006/relationships/hyperlink" Target="/live_market/dynaContent/live_watch/option_chain/optionDates.jsp?symbol=BANKNIFTY&amp;instrument=OPTIDX&amp;strike=24300.00" TargetMode="External"/><Relationship Id="rId358" Type="http://schemas.openxmlformats.org/officeDocument/2006/relationships/hyperlink" Target="/live_market/dynaContent/live_watch/get_quote/GetQuoteFO.jsp?underlying=BANKNIFTY&amp;instrument=OPTIDX&amp;strike=29900.00&amp;type=CE&amp;expiry=24DEC2020" TargetMode="External"/><Relationship Id="rId162" Type="http://schemas.openxmlformats.org/officeDocument/2006/relationships/hyperlink" Target="/live_market/dynaContent/live_watch/option_chain/optionDates.jsp?symbol=BANKNIFTY&amp;instrument=OPTIDX&amp;strike=25500.00" TargetMode="External"/><Relationship Id="rId218" Type="http://schemas.openxmlformats.org/officeDocument/2006/relationships/hyperlink" Target="javascript:chartPopup('BANKNIFTY',%20'OPTIDX',%20'24DEC2020',%20'26900.00','CE','NIFTY%20PSE');" TargetMode="External"/><Relationship Id="rId425" Type="http://schemas.openxmlformats.org/officeDocument/2006/relationships/hyperlink" Target="/live_market/dynaContent/live_watch/get_quote/GetQuoteFO.jsp?underlying=BANKNIFTY&amp;instrument=OPTIDX&amp;strike=31200.00&amp;type=PE&amp;expiry=24DEC2020" TargetMode="External"/><Relationship Id="rId467" Type="http://schemas.openxmlformats.org/officeDocument/2006/relationships/hyperlink" Target="javascript:chartPopup('BANKNIFTY',%20'OPTIDX',%20'24DEC2020',%20'32100.00','CE','NIFTY%20PSE');" TargetMode="External"/><Relationship Id="rId271" Type="http://schemas.openxmlformats.org/officeDocument/2006/relationships/hyperlink" Target="javascript:chartPopup('BANKNIFTY',%20'OPTIDX',%20'24DEC2020',%20'28100.00','CE','NIFTY%20PSE');" TargetMode="External"/><Relationship Id="rId24" Type="http://schemas.openxmlformats.org/officeDocument/2006/relationships/hyperlink" Target="javascript:chartPopup('BANKNIFTY',%20'OPTIDX',%20'24DEC2020',%20'21400.00','PE','NIFTY%20PSE');" TargetMode="External"/><Relationship Id="rId66" Type="http://schemas.openxmlformats.org/officeDocument/2006/relationships/hyperlink" Target="javascript:chartPopup('BANKNIFTY',%20'OPTIDX',%20'24DEC2020',%20'22600.00','PE','NIFTY%20PSE');" TargetMode="External"/><Relationship Id="rId131" Type="http://schemas.openxmlformats.org/officeDocument/2006/relationships/hyperlink" Target="/live_market/dynaContent/live_watch/option_chain/optionDates.jsp?symbol=BANKNIFTY&amp;instrument=OPTIDX&amp;strike=24600.00" TargetMode="External"/><Relationship Id="rId327" Type="http://schemas.openxmlformats.org/officeDocument/2006/relationships/hyperlink" Target="javascript:chartPopup('BANKNIFTY',%20'OPTIDX',%20'24DEC2020',%20'29300.00','CE','NIFTY%20PSE');" TargetMode="External"/><Relationship Id="rId369" Type="http://schemas.openxmlformats.org/officeDocument/2006/relationships/hyperlink" Target="/live_market/dynaContent/live_watch/option_chain/optionDates.jsp?symbol=BANKNIFTY&amp;instrument=OPTIDX&amp;strike=30100.00" TargetMode="External"/><Relationship Id="rId534" Type="http://schemas.openxmlformats.org/officeDocument/2006/relationships/hyperlink" Target="/live_market/dynaContent/live_watch/option_chain/optionDates.jsp?symbol=BANKNIFTY&amp;instrument=OPTIDX&amp;strike=33700.00" TargetMode="External"/><Relationship Id="rId173" Type="http://schemas.openxmlformats.org/officeDocument/2006/relationships/hyperlink" Target="/live_market/dynaContent/live_watch/option_chain/optionDates.jsp?symbol=BANKNIFTY&amp;instrument=OPTIDX&amp;strike=25800.00" TargetMode="External"/><Relationship Id="rId229" Type="http://schemas.openxmlformats.org/officeDocument/2006/relationships/hyperlink" Target="/live_market/dynaContent/live_watch/option_chain/optionDates.jsp?symbol=BANKNIFTY&amp;instrument=OPTIDX&amp;strike=27100.00" TargetMode="External"/><Relationship Id="rId380" Type="http://schemas.openxmlformats.org/officeDocument/2006/relationships/hyperlink" Target="/live_market/dynaContent/live_watch/get_quote/GetQuoteFO.jsp?underlying=BANKNIFTY&amp;instrument=OPTIDX&amp;strike=30300.00&amp;type=PE&amp;expiry=24DEC2020" TargetMode="External"/><Relationship Id="rId436" Type="http://schemas.openxmlformats.org/officeDocument/2006/relationships/hyperlink" Target="javascript:chartPopup('BANKNIFTY',%20'OPTIDX',%20'24DEC2020',%20'31400.00','PE','NIFTY%20PSE');" TargetMode="External"/><Relationship Id="rId240" Type="http://schemas.openxmlformats.org/officeDocument/2006/relationships/hyperlink" Target="javascript:chartPopup('BANKNIFTY',%20'OPTIDX',%20'24DEC2020',%20'27400.00','CE','NIFTY%20PSE');" TargetMode="External"/><Relationship Id="rId478" Type="http://schemas.openxmlformats.org/officeDocument/2006/relationships/hyperlink" Target="javascript:chartPopup('BANKNIFTY',%20'OPTIDX',%20'24DEC2020',%20'32300.00','PE','NIFTY%20PSE');" TargetMode="External"/><Relationship Id="rId35" Type="http://schemas.openxmlformats.org/officeDocument/2006/relationships/hyperlink" Target="javascript:chartPopup('BANKNIFTY',%20'OPTIDX',%20'24DEC2020',%20'21800.00','CE','NIFTY%20PSE');" TargetMode="External"/><Relationship Id="rId77" Type="http://schemas.openxmlformats.org/officeDocument/2006/relationships/hyperlink" Target="javascript:chartPopup('BANKNIFTY',%20'OPTIDX',%20'24DEC2020',%20'23000.00','CE','NIFTY%20PSE');" TargetMode="External"/><Relationship Id="rId100" Type="http://schemas.openxmlformats.org/officeDocument/2006/relationships/hyperlink" Target="javascript:chartPopup('BANKNIFTY',%20'OPTIDX',%20'24DEC2020',%20'23700.00','CE','NIFTY%20PSE');" TargetMode="External"/><Relationship Id="rId282" Type="http://schemas.openxmlformats.org/officeDocument/2006/relationships/hyperlink" Target="javascript:chartPopup('BANKNIFTY',%20'OPTIDX',%20'24DEC2020',%20'28300.00','PE','NIFTY%20PSE');" TargetMode="External"/><Relationship Id="rId338" Type="http://schemas.openxmlformats.org/officeDocument/2006/relationships/hyperlink" Target="/live_market/dynaContent/live_watch/get_quote/GetQuoteFO.jsp?underlying=BANKNIFTY&amp;instrument=OPTIDX&amp;strike=29500.00&amp;type=CE&amp;expiry=24DEC2020" TargetMode="External"/><Relationship Id="rId503" Type="http://schemas.openxmlformats.org/officeDocument/2006/relationships/hyperlink" Target="javascript:chartPopup('BANKNIFTY',%20'OPTIDX',%20'24DEC2020',%20'32900.00','PE','NIFTY%20PSE');" TargetMode="External"/><Relationship Id="rId8" Type="http://schemas.openxmlformats.org/officeDocument/2006/relationships/hyperlink" Target="/live_market/dynaContent/live_watch/get_quote/GetQuoteFO.jsp?underlying=BANKNIFTY&amp;instrument=OPTIDX&amp;strike=21000.00&amp;type=PE&amp;expiry=24DEC2020" TargetMode="External"/><Relationship Id="rId142" Type="http://schemas.openxmlformats.org/officeDocument/2006/relationships/hyperlink" Target="javascript:chartPopup('BANKNIFTY',%20'OPTIDX',%20'24DEC2020',%20'24900.00','PE','NIFTY%20PSE');" TargetMode="External"/><Relationship Id="rId184" Type="http://schemas.openxmlformats.org/officeDocument/2006/relationships/hyperlink" Target="javascript:chartPopup('BANKNIFTY',%20'OPTIDX',%20'24DEC2020',%20'26000.00','PE','NIFTY%20PSE');" TargetMode="External"/><Relationship Id="rId391" Type="http://schemas.openxmlformats.org/officeDocument/2006/relationships/hyperlink" Target="javascript:chartPopup('BANKNIFTY',%20'OPTIDX',%20'24DEC2020',%20'30500.00','PE','NIFTY%20PSE');" TargetMode="External"/><Relationship Id="rId405" Type="http://schemas.openxmlformats.org/officeDocument/2006/relationships/hyperlink" Target="/live_market/dynaContent/live_watch/get_quote/GetQuoteFO.jsp?underlying=BANKNIFTY&amp;instrument=OPTIDX&amp;strike=30800.00&amp;type=PE&amp;expiry=24DEC2020" TargetMode="External"/><Relationship Id="rId447" Type="http://schemas.openxmlformats.org/officeDocument/2006/relationships/hyperlink" Target="javascript:chartPopup('BANKNIFTY',%20'OPTIDX',%20'24DEC2020',%20'31700.00','CE','NIFTY%20PSE');" TargetMode="External"/><Relationship Id="rId251" Type="http://schemas.openxmlformats.org/officeDocument/2006/relationships/hyperlink" Target="/live_market/dynaContent/live_watch/option_chain/optionDates.jsp?symbol=BANKNIFTY&amp;instrument=OPTIDX&amp;strike=27600.00" TargetMode="External"/><Relationship Id="rId489" Type="http://schemas.openxmlformats.org/officeDocument/2006/relationships/hyperlink" Target="/live_market/dynaContent/live_watch/get_quote/GetQuoteFO.jsp?underlying=BANKNIFTY&amp;instrument=OPTIDX&amp;strike=32600.00&amp;type=CE&amp;expiry=24DEC2020" TargetMode="External"/><Relationship Id="rId46" Type="http://schemas.openxmlformats.org/officeDocument/2006/relationships/hyperlink" Target="javascript:chartPopup('BANKNIFTY',%20'OPTIDX',%20'24DEC2020',%20'22100.00','CE','NIFTY%20PSE');" TargetMode="External"/><Relationship Id="rId293" Type="http://schemas.openxmlformats.org/officeDocument/2006/relationships/hyperlink" Target="/live_market/dynaContent/live_watch/get_quote/GetQuoteFO.jsp?underlying=BANKNIFTY&amp;instrument=OPTIDX&amp;strike=28600.00&amp;type=CE&amp;expiry=24DEC2020" TargetMode="External"/><Relationship Id="rId307" Type="http://schemas.openxmlformats.org/officeDocument/2006/relationships/hyperlink" Target="javascript:chartPopup('BANKNIFTY',%20'OPTIDX',%20'24DEC2020',%20'28900.00','CE','NIFTY%20PSE');" TargetMode="External"/><Relationship Id="rId349" Type="http://schemas.openxmlformats.org/officeDocument/2006/relationships/hyperlink" Target="/live_market/dynaContent/live_watch/option_chain/optionDates.jsp?symbol=BANKNIFTY&amp;instrument=OPTIDX&amp;strike=29700.00" TargetMode="External"/><Relationship Id="rId514" Type="http://schemas.openxmlformats.org/officeDocument/2006/relationships/hyperlink" Target="/live_market/dynaContent/live_watch/option_chain/optionDates.jsp?symbol=BANKNIFTY&amp;instrument=OPTIDX&amp;strike=33200.00" TargetMode="External"/><Relationship Id="rId88" Type="http://schemas.openxmlformats.org/officeDocument/2006/relationships/hyperlink" Target="/live_market/dynaContent/live_watch/option_chain/optionDates.jsp?symbol=BANKNIFTY&amp;instrument=OPTIDX&amp;strike=23300.00" TargetMode="External"/><Relationship Id="rId111" Type="http://schemas.openxmlformats.org/officeDocument/2006/relationships/hyperlink" Target="/live_market/dynaContent/live_watch/get_quote/GetQuoteFO.jsp?underlying=BANKNIFTY&amp;instrument=OPTIDX&amp;strike=24000.00&amp;type=PE&amp;expiry=24DEC2020" TargetMode="External"/><Relationship Id="rId153" Type="http://schemas.openxmlformats.org/officeDocument/2006/relationships/hyperlink" Target="javascript:chartPopup('BANKNIFTY',%20'OPTIDX',%20'24DEC2020',%20'25200.00','PE','NIFTY%20PSE');" TargetMode="External"/><Relationship Id="rId195" Type="http://schemas.openxmlformats.org/officeDocument/2006/relationships/hyperlink" Target="/live_market/dynaContent/live_watch/get_quote/GetQuoteFO.jsp?underlying=BANKNIFTY&amp;instrument=OPTIDX&amp;strike=26300.00&amp;type=PE&amp;expiry=24DEC2020" TargetMode="External"/><Relationship Id="rId209" Type="http://schemas.openxmlformats.org/officeDocument/2006/relationships/hyperlink" Target="javascript:chartPopup('BANKNIFTY',%20'OPTIDX',%20'24DEC2020',%20'26600.00','PE','NIFTY%20PSE');" TargetMode="External"/><Relationship Id="rId360" Type="http://schemas.openxmlformats.org/officeDocument/2006/relationships/hyperlink" Target="/live_market/dynaContent/live_watch/get_quote/GetQuoteFO.jsp?underlying=BANKNIFTY&amp;instrument=OPTIDX&amp;strike=29900.00&amp;type=PE&amp;expiry=24DEC2020" TargetMode="External"/><Relationship Id="rId416" Type="http://schemas.openxmlformats.org/officeDocument/2006/relationships/hyperlink" Target="javascript:chartPopup('BANKNIFTY',%20'OPTIDX',%20'24DEC2020',%20'31000.00','PE','NIFTY%20PSE');" TargetMode="External"/><Relationship Id="rId220" Type="http://schemas.openxmlformats.org/officeDocument/2006/relationships/hyperlink" Target="/live_market/dynaContent/live_watch/get_quote/GetQuoteFO.jsp?underlying=BANKNIFTY&amp;instrument=OPTIDX&amp;strike=26900.00&amp;type=PE&amp;expiry=24DEC2020" TargetMode="External"/><Relationship Id="rId458" Type="http://schemas.openxmlformats.org/officeDocument/2006/relationships/hyperlink" Target="/live_market/dynaContent/live_watch/get_quote/GetQuoteFO.jsp?underlying=BANKNIFTY&amp;instrument=OPTIDX&amp;strike=31900.00&amp;type=CE&amp;expiry=24DEC2020" TargetMode="External"/><Relationship Id="rId15" Type="http://schemas.openxmlformats.org/officeDocument/2006/relationships/hyperlink" Target="/live_market/dynaContent/live_watch/option_chain/optionDates.jsp?symbol=BANKNIFTY&amp;instrument=OPTIDX&amp;strike=21200.00" TargetMode="External"/><Relationship Id="rId57" Type="http://schemas.openxmlformats.org/officeDocument/2006/relationships/hyperlink" Target="/live_market/dynaContent/live_watch/get_quote/GetQuoteFO.jsp?underlying=BANKNIFTY&amp;instrument=OPTIDX&amp;strike=22400.00&amp;type=PE&amp;expiry=24DEC2020" TargetMode="External"/><Relationship Id="rId262" Type="http://schemas.openxmlformats.org/officeDocument/2006/relationships/hyperlink" Target="javascript:chartPopup('BANKNIFTY',%20'OPTIDX',%20'24DEC2020',%20'27900.00','CE','NIFTY%20PSE');" TargetMode="External"/><Relationship Id="rId318" Type="http://schemas.openxmlformats.org/officeDocument/2006/relationships/hyperlink" Target="/live_market/dynaContent/live_watch/get_quote/GetQuoteFO.jsp?underlying=BANKNIFTY&amp;instrument=OPTIDX&amp;strike=29100.00&amp;type=CE&amp;expiry=24DEC2020" TargetMode="External"/><Relationship Id="rId525" Type="http://schemas.openxmlformats.org/officeDocument/2006/relationships/hyperlink" Target="/live_market/dynaContent/live_watch/get_quote/GetQuoteFO.jsp?underlying=BANKNIFTY&amp;instrument=OPTIDX&amp;strike=33500.00&amp;type=CE&amp;expiry=24DEC2020" TargetMode="External"/><Relationship Id="rId99" Type="http://schemas.openxmlformats.org/officeDocument/2006/relationships/hyperlink" Target="javascript:chartPopup('BANKNIFTY',%20'OPTIDX',%20'24DEC2020',%20'23600.00','PE','NIFTY%20PSE');" TargetMode="External"/><Relationship Id="rId122" Type="http://schemas.openxmlformats.org/officeDocument/2006/relationships/hyperlink" Target="javascript:chartPopup('BANKNIFTY',%20'OPTIDX',%20'24DEC2020',%20'24400.00','CE','NIFTY%20PSE');" TargetMode="External"/><Relationship Id="rId164" Type="http://schemas.openxmlformats.org/officeDocument/2006/relationships/hyperlink" Target="javascript:chartPopup('BANKNIFTY',%20'OPTIDX',%20'24DEC2020',%20'25500.00','PE','NIFTY%20PSE');" TargetMode="External"/><Relationship Id="rId371" Type="http://schemas.openxmlformats.org/officeDocument/2006/relationships/hyperlink" Target="javascript:chartPopup('BANKNIFTY',%20'OPTIDX',%20'24DEC2020',%20'30100.00','PE','NIFTY%20PSE');" TargetMode="External"/><Relationship Id="rId427" Type="http://schemas.openxmlformats.org/officeDocument/2006/relationships/hyperlink" Target="javascript:chartPopup('BANKNIFTY',%20'OPTIDX',%20'24DEC2020',%20'31300.00','CE','NIFTY%20PSE');" TargetMode="External"/><Relationship Id="rId469" Type="http://schemas.openxmlformats.org/officeDocument/2006/relationships/hyperlink" Target="/live_market/dynaContent/live_watch/option_chain/optionDates.jsp?symbol=BANKNIFTY&amp;instrument=OPTIDX&amp;strike=32100.00" TargetMode="External"/><Relationship Id="rId26" Type="http://schemas.openxmlformats.org/officeDocument/2006/relationships/hyperlink" Target="/live_market/dynaContent/live_watch/option_chain/optionDates.jsp?symbol=BANKNIFTY&amp;instrument=OPTIDX&amp;strike=21500.00" TargetMode="External"/><Relationship Id="rId231" Type="http://schemas.openxmlformats.org/officeDocument/2006/relationships/hyperlink" Target="javascript:chartPopup('BANKNIFTY',%20'OPTIDX',%20'24DEC2020',%20'27100.00','PE','NIFTY%20PSE');" TargetMode="External"/><Relationship Id="rId273" Type="http://schemas.openxmlformats.org/officeDocument/2006/relationships/hyperlink" Target="/live_market/dynaContent/live_watch/get_quote/GetQuoteFO.jsp?underlying=BANKNIFTY&amp;instrument=OPTIDX&amp;strike=28100.00&amp;type=PE&amp;expiry=24DEC2020" TargetMode="External"/><Relationship Id="rId329" Type="http://schemas.openxmlformats.org/officeDocument/2006/relationships/hyperlink" Target="/live_market/dynaContent/live_watch/option_chain/optionDates.jsp?symbol=BANKNIFTY&amp;instrument=OPTIDX&amp;strike=29300.00" TargetMode="External"/><Relationship Id="rId480" Type="http://schemas.openxmlformats.org/officeDocument/2006/relationships/hyperlink" Target="/live_market/dynaContent/live_watch/get_quote/GetQuoteFO.jsp?underlying=BANKNIFTY&amp;instrument=OPTIDX&amp;strike=32400.00&amp;type=CE&amp;expiry=24DEC2020" TargetMode="External"/><Relationship Id="rId536" Type="http://schemas.openxmlformats.org/officeDocument/2006/relationships/hyperlink" Target="javascript:chartPopup('BANKNIFTY',%20'OPTIDX',%20'24DEC2020',%20'33800.00','CE','NIFTY%20PSE');" TargetMode="External"/><Relationship Id="rId68" Type="http://schemas.openxmlformats.org/officeDocument/2006/relationships/hyperlink" Target="/live_market/dynaContent/live_watch/option_chain/optionDates.jsp?symbol=BANKNIFTY&amp;instrument=OPTIDX&amp;strike=22700.00" TargetMode="External"/><Relationship Id="rId133" Type="http://schemas.openxmlformats.org/officeDocument/2006/relationships/hyperlink" Target="javascript:chartPopup('BANKNIFTY',%20'OPTIDX',%20'24DEC2020',%20'24700.00','CE','NIFTY%20PSE');" TargetMode="External"/><Relationship Id="rId175" Type="http://schemas.openxmlformats.org/officeDocument/2006/relationships/hyperlink" Target="javascript:chartPopup('BANKNIFTY',%20'OPTIDX',%20'24DEC2020',%20'25800.00','PE','NIFTY%20PSE');" TargetMode="External"/><Relationship Id="rId340" Type="http://schemas.openxmlformats.org/officeDocument/2006/relationships/hyperlink" Target="/live_market/dynaContent/live_watch/get_quote/GetQuoteFO.jsp?underlying=BANKNIFTY&amp;instrument=OPTIDX&amp;strike=29500.00&amp;type=PE&amp;expiry=24DEC2020" TargetMode="External"/><Relationship Id="rId200" Type="http://schemas.openxmlformats.org/officeDocument/2006/relationships/hyperlink" Target="javascript:chartPopup('BANKNIFTY',%20'OPTIDX',%20'24DEC2020',%20'26400.00','PE','NIFTY%20PSE');" TargetMode="External"/><Relationship Id="rId382" Type="http://schemas.openxmlformats.org/officeDocument/2006/relationships/hyperlink" Target="javascript:chartPopup('BANKNIFTY',%20'OPTIDX',%20'24DEC2020',%20'30400.00','CE','NIFTY%20PSE');" TargetMode="External"/><Relationship Id="rId438" Type="http://schemas.openxmlformats.org/officeDocument/2006/relationships/hyperlink" Target="/live_market/dynaContent/live_watch/get_quote/GetQuoteFO.jsp?underlying=BANKNIFTY&amp;instrument=OPTIDX&amp;strike=31500.00&amp;type=CE&amp;expiry=24DEC2020" TargetMode="External"/><Relationship Id="rId242" Type="http://schemas.openxmlformats.org/officeDocument/2006/relationships/hyperlink" Target="/live_market/dynaContent/live_watch/option_chain/optionDates.jsp?symbol=BANKNIFTY&amp;instrument=OPTIDX&amp;strike=27400.00" TargetMode="External"/><Relationship Id="rId284" Type="http://schemas.openxmlformats.org/officeDocument/2006/relationships/hyperlink" Target="/live_market/dynaContent/live_watch/option_chain/optionDates.jsp?symbol=BANKNIFTY&amp;instrument=OPTIDX&amp;strike=28400.00" TargetMode="External"/><Relationship Id="rId491" Type="http://schemas.openxmlformats.org/officeDocument/2006/relationships/hyperlink" Target="javascript:chartPopup('BANKNIFTY',%20'OPTIDX',%20'24DEC2020',%20'32600.00','PE','NIFTY%20PSE');" TargetMode="External"/><Relationship Id="rId505" Type="http://schemas.openxmlformats.org/officeDocument/2006/relationships/hyperlink" Target="/live_market/dynaContent/live_watch/get_quote/GetQuoteFO.jsp?underlying=BANKNIFTY&amp;instrument=OPTIDX&amp;strike=33000.00&amp;type=CE&amp;expiry=24DEC2020" TargetMode="External"/><Relationship Id="rId37" Type="http://schemas.openxmlformats.org/officeDocument/2006/relationships/hyperlink" Target="javascript:chartPopup('BANKNIFTY',%20'OPTIDX',%20'24DEC2020',%20'21800.00','PE','NIFTY%20PSE');" TargetMode="External"/><Relationship Id="rId79" Type="http://schemas.openxmlformats.org/officeDocument/2006/relationships/hyperlink" Target="/live_market/dynaContent/live_watch/get_quote/GetQuoteFO.jsp?underlying=BANKNIFTY&amp;instrument=OPTIDX&amp;strike=23000.00&amp;type=PE&amp;expiry=24DEC2020" TargetMode="External"/><Relationship Id="rId102" Type="http://schemas.openxmlformats.org/officeDocument/2006/relationships/hyperlink" Target="javascript:chartPopup('BANKNIFTY',%20'OPTIDX',%20'24DEC2020',%20'23700.00','PE','NIFTY%20PSE');" TargetMode="External"/><Relationship Id="rId144" Type="http://schemas.openxmlformats.org/officeDocument/2006/relationships/hyperlink" Target="/live_market/dynaContent/live_watch/get_quote/GetQuoteFO.jsp?underlying=BANKNIFTY&amp;instrument=OPTIDX&amp;strike=25000.00&amp;type=CE&amp;expiry=24DEC2020" TargetMode="External"/><Relationship Id="rId90" Type="http://schemas.openxmlformats.org/officeDocument/2006/relationships/hyperlink" Target="javascript:chartPopup('BANKNIFTY',%20'OPTIDX',%20'24DEC2020',%20'23400.00','CE','NIFTY%20PSE');" TargetMode="External"/><Relationship Id="rId186" Type="http://schemas.openxmlformats.org/officeDocument/2006/relationships/hyperlink" Target="/live_market/dynaContent/live_watch/option_chain/optionDates.jsp?symbol=BANKNIFTY&amp;instrument=OPTIDX&amp;strike=26100.00" TargetMode="External"/><Relationship Id="rId351" Type="http://schemas.openxmlformats.org/officeDocument/2006/relationships/hyperlink" Target="javascript:chartPopup('BANKNIFTY',%20'OPTIDX',%20'24DEC2020',%20'29700.00','PE','NIFTY%20PSE');" TargetMode="External"/><Relationship Id="rId393" Type="http://schemas.openxmlformats.org/officeDocument/2006/relationships/hyperlink" Target="/live_market/dynaContent/live_watch/get_quote/GetQuoteFO.jsp?underlying=BANKNIFTY&amp;instrument=OPTIDX&amp;strike=30600.00&amp;type=CE&amp;expiry=24DEC2020" TargetMode="External"/><Relationship Id="rId407" Type="http://schemas.openxmlformats.org/officeDocument/2006/relationships/hyperlink" Target="javascript:chartPopup('BANKNIFTY',%20'OPTIDX',%20'24DEC2020',%20'30900.00','CE','NIFTY%20PSE');" TargetMode="External"/><Relationship Id="rId449" Type="http://schemas.openxmlformats.org/officeDocument/2006/relationships/hyperlink" Target="/live_market/dynaContent/live_watch/option_chain/optionDates.jsp?symbol=BANKNIFTY&amp;instrument=OPTIDX&amp;strike=31700.00" TargetMode="External"/><Relationship Id="rId211" Type="http://schemas.openxmlformats.org/officeDocument/2006/relationships/hyperlink" Target="/live_market/dynaContent/live_watch/option_chain/optionDates.jsp?symbol=BANKNIFTY&amp;instrument=OPTIDX&amp;strike=26700.00" TargetMode="External"/><Relationship Id="rId253" Type="http://schemas.openxmlformats.org/officeDocument/2006/relationships/hyperlink" Target="javascript:chartPopup('BANKNIFTY',%20'OPTIDX',%20'24DEC2020',%20'27600.00','PE','NIFTY%20PSE');" TargetMode="External"/><Relationship Id="rId295" Type="http://schemas.openxmlformats.org/officeDocument/2006/relationships/hyperlink" Target="/live_market/dynaContent/live_watch/get_quote/GetQuoteFO.jsp?underlying=BANKNIFTY&amp;instrument=OPTIDX&amp;strike=28600.00&amp;type=PE&amp;expiry=24DEC2020" TargetMode="External"/><Relationship Id="rId309" Type="http://schemas.openxmlformats.org/officeDocument/2006/relationships/hyperlink" Target="/live_market/dynaContent/live_watch/option_chain/optionDates.jsp?symbol=BANKNIFTY&amp;instrument=OPTIDX&amp;strike=28900.00" TargetMode="External"/><Relationship Id="rId460" Type="http://schemas.openxmlformats.org/officeDocument/2006/relationships/hyperlink" Target="/live_market/dynaContent/live_watch/get_quote/GetQuoteFO.jsp?underlying=BANKNIFTY&amp;instrument=OPTIDX&amp;strike=31900.00&amp;type=PE&amp;expiry=24DEC2020" TargetMode="External"/><Relationship Id="rId516" Type="http://schemas.openxmlformats.org/officeDocument/2006/relationships/hyperlink" Target="javascript:chartPopup('BANKNIFTY',%20'OPTIDX',%20'24DEC2020',%20'33300.00','CE','NIFTY%20PSE');" TargetMode="External"/><Relationship Id="rId48" Type="http://schemas.openxmlformats.org/officeDocument/2006/relationships/hyperlink" Target="javascript:chartPopup('BANKNIFTY',%20'OPTIDX',%20'24DEC2020',%20'22100.00','PE','NIFTY%20PSE');" TargetMode="External"/><Relationship Id="rId113" Type="http://schemas.openxmlformats.org/officeDocument/2006/relationships/hyperlink" Target="javascript:chartPopup('BANKNIFTY',%20'OPTIDX',%20'24DEC2020',%20'24100.00','CE','NIFTY%20PSE');" TargetMode="External"/><Relationship Id="rId320" Type="http://schemas.openxmlformats.org/officeDocument/2006/relationships/hyperlink" Target="/live_market/dynaContent/live_watch/get_quote/GetQuoteFO.jsp?underlying=BANKNIFTY&amp;instrument=OPTIDX&amp;strike=29100.00&amp;type=PE&amp;expiry=24DEC2020" TargetMode="External"/><Relationship Id="rId155" Type="http://schemas.openxmlformats.org/officeDocument/2006/relationships/hyperlink" Target="/live_market/dynaContent/live_watch/option_chain/optionDates.jsp?symbol=BANKNIFTY&amp;instrument=OPTIDX&amp;strike=25300.00" TargetMode="External"/><Relationship Id="rId197" Type="http://schemas.openxmlformats.org/officeDocument/2006/relationships/hyperlink" Target="javascript:chartPopup('BANKNIFTY',%20'OPTIDX',%20'24DEC2020',%20'26400.00','CE','NIFTY%20PSE');" TargetMode="External"/><Relationship Id="rId362" Type="http://schemas.openxmlformats.org/officeDocument/2006/relationships/hyperlink" Target="javascript:chartPopup('BANKNIFTY',%20'OPTIDX',%20'24DEC2020',%20'30000.00','CE','NIFTY%20PSE');" TargetMode="External"/><Relationship Id="rId418" Type="http://schemas.openxmlformats.org/officeDocument/2006/relationships/hyperlink" Target="/live_market/dynaContent/live_watch/get_quote/GetQuoteFO.jsp?underlying=BANKNIFTY&amp;instrument=OPTIDX&amp;strike=31100.00&amp;type=CE&amp;expiry=24DEC2020" TargetMode="External"/><Relationship Id="rId222" Type="http://schemas.openxmlformats.org/officeDocument/2006/relationships/hyperlink" Target="javascript:chartPopup('BANKNIFTY',%20'OPTIDX',%20'24DEC2020',%20'27000.00','CE','NIFTY%20PSE');" TargetMode="External"/><Relationship Id="rId264" Type="http://schemas.openxmlformats.org/officeDocument/2006/relationships/hyperlink" Target="/live_market/dynaContent/live_watch/get_quote/GetQuoteFO.jsp?underlying=BANKNIFTY&amp;instrument=OPTIDX&amp;strike=27900.00&amp;type=PE&amp;expiry=24DEC2020" TargetMode="External"/><Relationship Id="rId471" Type="http://schemas.openxmlformats.org/officeDocument/2006/relationships/hyperlink" Target="javascript:chartPopup('BANKNIFTY',%20'OPTIDX',%20'24DEC2020',%20'32200.00','CE','NIFTY%20PSE');" TargetMode="External"/><Relationship Id="rId17" Type="http://schemas.openxmlformats.org/officeDocument/2006/relationships/hyperlink" Target="javascript:chartPopup('BANKNIFTY',%20'OPTIDX',%20'24DEC2020',%20'21200.00','PE','NIFTY%20PSE');" TargetMode="External"/><Relationship Id="rId59" Type="http://schemas.openxmlformats.org/officeDocument/2006/relationships/hyperlink" Target="javascript:chartPopup('BANKNIFTY',%20'OPTIDX',%20'24DEC2020',%20'22500.00','CE','NIFTY%20PSE');" TargetMode="External"/><Relationship Id="rId124" Type="http://schemas.openxmlformats.org/officeDocument/2006/relationships/hyperlink" Target="/live_market/dynaContent/live_watch/get_quote/GetQuoteFO.jsp?underlying=BANKNIFTY&amp;instrument=OPTIDX&amp;strike=24400.00&amp;type=PE&amp;expiry=24DEC2020" TargetMode="External"/><Relationship Id="rId527" Type="http://schemas.openxmlformats.org/officeDocument/2006/relationships/hyperlink" Target="javascript:chartPopup('BANKNIFTY',%20'OPTIDX',%20'24DEC2020',%20'33500.00','PE','NIFTY%20PSE');" TargetMode="External"/><Relationship Id="rId70" Type="http://schemas.openxmlformats.org/officeDocument/2006/relationships/hyperlink" Target="javascript:chartPopup('BANKNIFTY',%20'OPTIDX',%20'24DEC2020',%20'22800.00','CE','NIFTY%20PSE');" TargetMode="External"/><Relationship Id="rId166" Type="http://schemas.openxmlformats.org/officeDocument/2006/relationships/hyperlink" Target="/live_market/dynaContent/live_watch/option_chain/optionDates.jsp?symbol=BANKNIFTY&amp;instrument=OPTIDX&amp;strike=25600.00" TargetMode="External"/><Relationship Id="rId331" Type="http://schemas.openxmlformats.org/officeDocument/2006/relationships/hyperlink" Target="javascript:chartPopup('BANKNIFTY',%20'OPTIDX',%20'24DEC2020',%20'29300.00','PE','NIFTY%20PSE');" TargetMode="External"/><Relationship Id="rId373" Type="http://schemas.openxmlformats.org/officeDocument/2006/relationships/hyperlink" Target="/live_market/dynaContent/live_watch/get_quote/GetQuoteFO.jsp?underlying=BANKNIFTY&amp;instrument=OPTIDX&amp;strike=30200.00&amp;type=CE&amp;expiry=24DEC2020" TargetMode="External"/><Relationship Id="rId429" Type="http://schemas.openxmlformats.org/officeDocument/2006/relationships/hyperlink" Target="/live_market/dynaContent/live_watch/option_chain/optionDates.jsp?symbol=BANKNIFTY&amp;instrument=OPTIDX&amp;strike=31300.00" TargetMode="External"/><Relationship Id="rId1" Type="http://schemas.openxmlformats.org/officeDocument/2006/relationships/hyperlink" Target="javascript:chartPopup('BANKNIFTY',%20'OPTIDX',%20'24DEC2020',%20'20900.00','CE','NIFTY%20PSE');" TargetMode="External"/><Relationship Id="rId233" Type="http://schemas.openxmlformats.org/officeDocument/2006/relationships/hyperlink" Target="/live_market/dynaContent/live_watch/option_chain/optionDates.jsp?symbol=BANKNIFTY&amp;instrument=OPTIDX&amp;strike=27200.00" TargetMode="External"/><Relationship Id="rId440" Type="http://schemas.openxmlformats.org/officeDocument/2006/relationships/hyperlink" Target="/live_market/dynaContent/live_watch/get_quote/GetQuoteFO.jsp?underlying=BANKNIFTY&amp;instrument=OPTIDX&amp;strike=31500.00&amp;type=PE&amp;expiry=24DEC2020" TargetMode="External"/><Relationship Id="rId28" Type="http://schemas.openxmlformats.org/officeDocument/2006/relationships/hyperlink" Target="javascript:chartPopup('BANKNIFTY',%20'OPTIDX',%20'24DEC2020',%20'21500.00','PE','NIFTY%20PSE');" TargetMode="External"/><Relationship Id="rId275" Type="http://schemas.openxmlformats.org/officeDocument/2006/relationships/hyperlink" Target="javascript:chartPopup('BANKNIFTY',%20'OPTIDX',%20'24DEC2020',%20'28200.00','CE','NIFTY%20PSE');" TargetMode="External"/><Relationship Id="rId300" Type="http://schemas.openxmlformats.org/officeDocument/2006/relationships/hyperlink" Target="/live_market/dynaContent/live_watch/get_quote/GetQuoteFO.jsp?underlying=BANKNIFTY&amp;instrument=OPTIDX&amp;strike=28700.00&amp;type=PE&amp;expiry=24DEC2020" TargetMode="External"/><Relationship Id="rId482" Type="http://schemas.openxmlformats.org/officeDocument/2006/relationships/hyperlink" Target="javascript:chartPopup('BANKNIFTY',%20'OPTIDX',%20'24DEC2020',%20'32400.00','PE','NIFTY%20PSE');" TargetMode="External"/><Relationship Id="rId538" Type="http://schemas.openxmlformats.org/officeDocument/2006/relationships/hyperlink" Target="/live_market/dynaContent/live_watch/option_chain/optionDates.jsp?symbol=BANKNIFTY&amp;instrument=OPTIDX&amp;strike=33800.00" TargetMode="External"/><Relationship Id="rId81" Type="http://schemas.openxmlformats.org/officeDocument/2006/relationships/hyperlink" Target="javascript:chartPopup('BANKNIFTY',%20'OPTIDX',%20'24DEC2020',%20'23100.00','CE','NIFTY%20PSE');" TargetMode="External"/><Relationship Id="rId135" Type="http://schemas.openxmlformats.org/officeDocument/2006/relationships/hyperlink" Target="/live_market/dynaContent/live_watch/get_quote/GetQuoteFO.jsp?underlying=BANKNIFTY&amp;instrument=OPTIDX&amp;strike=24700.00&amp;type=PE&amp;expiry=24DEC2020" TargetMode="External"/><Relationship Id="rId177" Type="http://schemas.openxmlformats.org/officeDocument/2006/relationships/hyperlink" Target="/live_market/dynaContent/live_watch/option_chain/optionDates.jsp?symbol=BANKNIFTY&amp;instrument=OPTIDX&amp;strike=25900.00" TargetMode="External"/><Relationship Id="rId342" Type="http://schemas.openxmlformats.org/officeDocument/2006/relationships/hyperlink" Target="javascript:chartPopup('BANKNIFTY',%20'OPTIDX',%20'24DEC2020',%20'29600.00','CE','NIFTY%20PSE');" TargetMode="External"/><Relationship Id="rId384" Type="http://schemas.openxmlformats.org/officeDocument/2006/relationships/hyperlink" Target="/live_market/dynaContent/live_watch/option_chain/optionDates.jsp?symbol=BANKNIFTY&amp;instrument=OPTIDX&amp;strike=30400.00" TargetMode="External"/><Relationship Id="rId202" Type="http://schemas.openxmlformats.org/officeDocument/2006/relationships/hyperlink" Target="/live_market/dynaContent/live_watch/get_quote/GetQuoteFO.jsp?underlying=BANKNIFTY&amp;instrument=OPTIDX&amp;strike=26500.00&amp;type=CE&amp;expiry=24DEC2020" TargetMode="External"/><Relationship Id="rId244" Type="http://schemas.openxmlformats.org/officeDocument/2006/relationships/hyperlink" Target="javascript:chartPopup('BANKNIFTY',%20'OPTIDX',%20'24DEC2020',%20'27400.00','PE','NIFTY%20PSE');" TargetMode="External"/><Relationship Id="rId39" Type="http://schemas.openxmlformats.org/officeDocument/2006/relationships/hyperlink" Target="/live_market/dynaContent/live_watch/option_chain/optionDates.jsp?symbol=BANKNIFTY&amp;instrument=OPTIDX&amp;strike=21900.00" TargetMode="External"/><Relationship Id="rId286" Type="http://schemas.openxmlformats.org/officeDocument/2006/relationships/hyperlink" Target="javascript:chartPopup('BANKNIFTY',%20'OPTIDX',%20'24DEC2020',%20'28400.00','PE','NIFTY%20PSE');" TargetMode="External"/><Relationship Id="rId451" Type="http://schemas.openxmlformats.org/officeDocument/2006/relationships/hyperlink" Target="javascript:chartPopup('BANKNIFTY',%20'OPTIDX',%20'24DEC2020',%20'31700.00','PE','NIFTY%20PSE');" TargetMode="External"/><Relationship Id="rId493" Type="http://schemas.openxmlformats.org/officeDocument/2006/relationships/hyperlink" Target="/live_market/dynaContent/live_watch/get_quote/GetQuoteFO.jsp?underlying=BANKNIFTY&amp;instrument=OPTIDX&amp;strike=32700.00&amp;type=CE&amp;expiry=24DEC2020" TargetMode="External"/><Relationship Id="rId507" Type="http://schemas.openxmlformats.org/officeDocument/2006/relationships/hyperlink" Target="javascript:chartPopup('BANKNIFTY',%20'OPTIDX',%20'24DEC2020',%20'33000.00','PE','NIFTY%20PSE');" TargetMode="External"/><Relationship Id="rId50" Type="http://schemas.openxmlformats.org/officeDocument/2006/relationships/hyperlink" Target="/live_market/dynaContent/live_watch/option_chain/optionDates.jsp?symbol=BANKNIFTY&amp;instrument=OPTIDX&amp;strike=22200.00" TargetMode="External"/><Relationship Id="rId104" Type="http://schemas.openxmlformats.org/officeDocument/2006/relationships/hyperlink" Target="/live_market/dynaContent/live_watch/option_chain/optionDates.jsp?symbol=BANKNIFTY&amp;instrument=OPTIDX&amp;strike=23800.00" TargetMode="External"/><Relationship Id="rId146" Type="http://schemas.openxmlformats.org/officeDocument/2006/relationships/hyperlink" Target="/live_market/dynaContent/live_watch/get_quote/GetQuoteFO.jsp?underlying=BANKNIFTY&amp;instrument=OPTIDX&amp;strike=25000.00&amp;type=PE&amp;expiry=24DEC2020" TargetMode="External"/><Relationship Id="rId188" Type="http://schemas.openxmlformats.org/officeDocument/2006/relationships/hyperlink" Target="javascript:chartPopup('BANKNIFTY',%20'OPTIDX',%20'24DEC2020',%20'26100.00','PE','NIFTY%20PSE');" TargetMode="External"/><Relationship Id="rId311" Type="http://schemas.openxmlformats.org/officeDocument/2006/relationships/hyperlink" Target="javascript:chartPopup('BANKNIFTY',%20'OPTIDX',%20'24DEC2020',%20'28900.00','PE','NIFTY%20PSE');" TargetMode="External"/><Relationship Id="rId353" Type="http://schemas.openxmlformats.org/officeDocument/2006/relationships/hyperlink" Target="/live_market/dynaContent/live_watch/get_quote/GetQuoteFO.jsp?underlying=BANKNIFTY&amp;instrument=OPTIDX&amp;strike=29800.00&amp;type=CE&amp;expiry=24DEC2020" TargetMode="External"/><Relationship Id="rId395" Type="http://schemas.openxmlformats.org/officeDocument/2006/relationships/hyperlink" Target="/live_market/dynaContent/live_watch/get_quote/GetQuoteFO.jsp?underlying=BANKNIFTY&amp;instrument=OPTIDX&amp;strike=30600.00&amp;type=PE&amp;expiry=24DEC2020" TargetMode="External"/><Relationship Id="rId409" Type="http://schemas.openxmlformats.org/officeDocument/2006/relationships/hyperlink" Target="/live_market/dynaContent/live_watch/option_chain/optionDates.jsp?symbol=BANKNIFTY&amp;instrument=OPTIDX&amp;strike=30900.00" TargetMode="External"/><Relationship Id="rId92" Type="http://schemas.openxmlformats.org/officeDocument/2006/relationships/hyperlink" Target="javascript:chartPopup('BANKNIFTY',%20'OPTIDX',%20'24DEC2020',%20'23400.00','PE','NIFTY%20PSE');" TargetMode="External"/><Relationship Id="rId213" Type="http://schemas.openxmlformats.org/officeDocument/2006/relationships/hyperlink" Target="javascript:chartPopup('BANKNIFTY',%20'OPTIDX',%20'24DEC2020',%20'26700.00','PE','NIFTY%20PSE');" TargetMode="External"/><Relationship Id="rId420" Type="http://schemas.openxmlformats.org/officeDocument/2006/relationships/hyperlink" Target="/live_market/dynaContent/live_watch/get_quote/GetQuoteFO.jsp?underlying=BANKNIFTY&amp;instrument=OPTIDX&amp;strike=31100.00&amp;type=PE&amp;expiry=24DEC2020" TargetMode="External"/><Relationship Id="rId255" Type="http://schemas.openxmlformats.org/officeDocument/2006/relationships/hyperlink" Target="/live_market/dynaContent/live_watch/option_chain/optionDates.jsp?symbol=BANKNIFTY&amp;instrument=OPTIDX&amp;strike=27700.00" TargetMode="External"/><Relationship Id="rId297" Type="http://schemas.openxmlformats.org/officeDocument/2006/relationships/hyperlink" Target="javascript:chartPopup('BANKNIFTY',%20'OPTIDX',%20'24DEC2020',%20'28700.00','CE','NIFTY%20PSE');" TargetMode="External"/><Relationship Id="rId462" Type="http://schemas.openxmlformats.org/officeDocument/2006/relationships/hyperlink" Target="javascript:chartPopup('BANKNIFTY',%20'OPTIDX',%20'24DEC2020',%20'32000.00','CE','NIFTY%20PSE');" TargetMode="External"/><Relationship Id="rId518" Type="http://schemas.openxmlformats.org/officeDocument/2006/relationships/hyperlink" Target="/live_market/dynaContent/live_watch/option_chain/optionDates.jsp?symbol=BANKNIFTY&amp;instrument=OPTIDX&amp;strike=33300.00" TargetMode="External"/><Relationship Id="rId115" Type="http://schemas.openxmlformats.org/officeDocument/2006/relationships/hyperlink" Target="javascript:chartPopup('BANKNIFTY',%20'OPTIDX',%20'24DEC2020',%20'24100.00','PE','NIFTY%20PSE');" TargetMode="External"/><Relationship Id="rId157" Type="http://schemas.openxmlformats.org/officeDocument/2006/relationships/hyperlink" Target="javascript:chartPopup('BANKNIFTY',%20'OPTIDX',%20'24DEC2020',%20'25400.00','CE','NIFTY%20PSE');" TargetMode="External"/><Relationship Id="rId322" Type="http://schemas.openxmlformats.org/officeDocument/2006/relationships/hyperlink" Target="javascript:chartPopup('BANKNIFTY',%20'OPTIDX',%20'24DEC2020',%20'29200.00','CE','NIFTY%20PSE');" TargetMode="External"/><Relationship Id="rId364" Type="http://schemas.openxmlformats.org/officeDocument/2006/relationships/hyperlink" Target="/live_market/dynaContent/live_watch/option_chain/optionDates.jsp?symbol=BANKNIFTY&amp;instrument=OPTIDX&amp;strike=30000.00" TargetMode="External"/><Relationship Id="rId61" Type="http://schemas.openxmlformats.org/officeDocument/2006/relationships/hyperlink" Target="/live_market/dynaContent/live_watch/option_chain/optionDates.jsp?symbol=BANKNIFTY&amp;instrument=OPTIDX&amp;strike=22500.00" TargetMode="External"/><Relationship Id="rId199" Type="http://schemas.openxmlformats.org/officeDocument/2006/relationships/hyperlink" Target="/live_market/dynaContent/live_watch/get_quote/GetQuoteFO.jsp?underlying=BANKNIFTY&amp;instrument=OPTIDX&amp;strike=26400.00&amp;type=PE&amp;expiry=24DEC2020" TargetMode="External"/><Relationship Id="rId19" Type="http://schemas.openxmlformats.org/officeDocument/2006/relationships/hyperlink" Target="/live_market/dynaContent/live_watch/option_chain/optionDates.jsp?symbol=BANKNIFTY&amp;instrument=OPTIDX&amp;strike=21300.00" TargetMode="External"/><Relationship Id="rId224" Type="http://schemas.openxmlformats.org/officeDocument/2006/relationships/hyperlink" Target="/live_market/dynaContent/live_watch/option_chain/optionDates.jsp?symbol=BANKNIFTY&amp;instrument=OPTIDX&amp;strike=27000.00" TargetMode="External"/><Relationship Id="rId266" Type="http://schemas.openxmlformats.org/officeDocument/2006/relationships/hyperlink" Target="javascript:chartPopup('BANKNIFTY',%20'OPTIDX',%20'24DEC2020',%20'28000.00','CE','NIFTY%20PSE');" TargetMode="External"/><Relationship Id="rId431" Type="http://schemas.openxmlformats.org/officeDocument/2006/relationships/hyperlink" Target="javascript:chartPopup('BANKNIFTY',%20'OPTIDX',%20'24DEC2020',%20'31300.00','PE','NIFTY%20PSE');" TargetMode="External"/><Relationship Id="rId473" Type="http://schemas.openxmlformats.org/officeDocument/2006/relationships/hyperlink" Target="/live_market/dynaContent/live_watch/option_chain/optionDates.jsp?symbol=BANKNIFTY&amp;instrument=OPTIDX&amp;strike=32200.00" TargetMode="External"/><Relationship Id="rId529" Type="http://schemas.openxmlformats.org/officeDocument/2006/relationships/hyperlink" Target="/live_market/dynaContent/live_watch/get_quote/GetQuoteFO.jsp?underlying=BANKNIFTY&amp;instrument=OPTIDX&amp;strike=33600.00&amp;type=CE&amp;expiry=24DEC2020" TargetMode="External"/><Relationship Id="rId30" Type="http://schemas.openxmlformats.org/officeDocument/2006/relationships/hyperlink" Target="/live_market/dynaContent/live_watch/option_chain/optionDates.jsp?symbol=BANKNIFTY&amp;instrument=OPTIDX&amp;strike=21600.00" TargetMode="External"/><Relationship Id="rId126" Type="http://schemas.openxmlformats.org/officeDocument/2006/relationships/hyperlink" Target="javascript:chartPopup('BANKNIFTY',%20'OPTIDX',%20'24DEC2020',%20'24500.00','CE','NIFTY%20PSE');" TargetMode="External"/><Relationship Id="rId168" Type="http://schemas.openxmlformats.org/officeDocument/2006/relationships/hyperlink" Target="javascript:chartPopup('BANKNIFTY',%20'OPTIDX',%20'24DEC2020',%20'25700.00','CE','NIFTY%20PSE');" TargetMode="External"/><Relationship Id="rId333" Type="http://schemas.openxmlformats.org/officeDocument/2006/relationships/hyperlink" Target="/live_market/dynaContent/live_watch/get_quote/GetQuoteFO.jsp?underlying=BANKNIFTY&amp;instrument=OPTIDX&amp;strike=29400.00&amp;type=CE&amp;expiry=24DEC2020" TargetMode="External"/><Relationship Id="rId540" Type="http://schemas.openxmlformats.org/officeDocument/2006/relationships/queryTable" Target="../queryTables/queryTable2.xml"/><Relationship Id="rId72" Type="http://schemas.openxmlformats.org/officeDocument/2006/relationships/hyperlink" Target="javascript:chartPopup('BANKNIFTY',%20'OPTIDX',%20'24DEC2020',%20'22800.00','PE','NIFTY%20PSE');" TargetMode="External"/><Relationship Id="rId375" Type="http://schemas.openxmlformats.org/officeDocument/2006/relationships/hyperlink" Target="/live_market/dynaContent/live_watch/get_quote/GetQuoteFO.jsp?underlying=BANKNIFTY&amp;instrument=OPTIDX&amp;strike=30200.00&amp;type=PE&amp;expiry=24DEC2020" TargetMode="External"/><Relationship Id="rId3" Type="http://schemas.openxmlformats.org/officeDocument/2006/relationships/hyperlink" Target="/live_market/dynaContent/live_watch/option_chain/optionDates.jsp?symbol=BANKNIFTY&amp;instrument=OPTIDX&amp;strike=20900.00" TargetMode="External"/><Relationship Id="rId235" Type="http://schemas.openxmlformats.org/officeDocument/2006/relationships/hyperlink" Target="javascript:chartPopup('BANKNIFTY',%20'OPTIDX',%20'24DEC2020',%20'27200.00','PE','NIFTY%20PSE');" TargetMode="External"/><Relationship Id="rId277" Type="http://schemas.openxmlformats.org/officeDocument/2006/relationships/hyperlink" Target="/live_market/dynaContent/live_watch/get_quote/GetQuoteFO.jsp?underlying=BANKNIFTY&amp;instrument=OPTIDX&amp;strike=28200.00&amp;type=PE&amp;expiry=24DEC2020" TargetMode="External"/><Relationship Id="rId400" Type="http://schemas.openxmlformats.org/officeDocument/2006/relationships/hyperlink" Target="/live_market/dynaContent/live_watch/get_quote/GetQuoteFO.jsp?underlying=BANKNIFTY&amp;instrument=OPTIDX&amp;strike=30700.00&amp;type=PE&amp;expiry=24DEC2020" TargetMode="External"/><Relationship Id="rId442" Type="http://schemas.openxmlformats.org/officeDocument/2006/relationships/hyperlink" Target="javascript:chartPopup('BANKNIFTY',%20'OPTIDX',%20'24DEC2020',%20'31600.00','CE','NIFTY%20PSE');" TargetMode="External"/><Relationship Id="rId484" Type="http://schemas.openxmlformats.org/officeDocument/2006/relationships/hyperlink" Target="/live_market/dynaContent/live_watch/get_quote/GetQuoteFO.jsp?underlying=BANKNIFTY&amp;instrument=OPTIDX&amp;strike=32500.00&amp;type=CE&amp;expiry=24DEC2020" TargetMode="External"/><Relationship Id="rId137" Type="http://schemas.openxmlformats.org/officeDocument/2006/relationships/hyperlink" Target="javascript:chartPopup('BANKNIFTY',%20'OPTIDX',%20'24DEC2020',%20'24800.00','CE','NIFTY%20PSE');" TargetMode="External"/><Relationship Id="rId302" Type="http://schemas.openxmlformats.org/officeDocument/2006/relationships/hyperlink" Target="javascript:chartPopup('BANKNIFTY',%20'OPTIDX',%20'24DEC2020',%20'28800.00','CE','NIFTY%20PSE');" TargetMode="External"/><Relationship Id="rId344" Type="http://schemas.openxmlformats.org/officeDocument/2006/relationships/hyperlink" Target="/live_market/dynaContent/live_watch/option_chain/optionDates.jsp?symbol=BANKNIFTY&amp;instrument=OPTIDX&amp;strike=29600.00" TargetMode="External"/><Relationship Id="rId41" Type="http://schemas.openxmlformats.org/officeDocument/2006/relationships/hyperlink" Target="javascript:chartPopup('BANKNIFTY',%20'OPTIDX',%20'24DEC2020',%20'22000.00','CE','NIFTY%20PSE');" TargetMode="External"/><Relationship Id="rId83" Type="http://schemas.openxmlformats.org/officeDocument/2006/relationships/hyperlink" Target="javascript:chartPopup('BANKNIFTY',%20'OPTIDX',%20'24DEC2020',%20'23100.00','PE','NIFTY%20PSE');" TargetMode="External"/><Relationship Id="rId179" Type="http://schemas.openxmlformats.org/officeDocument/2006/relationships/hyperlink" Target="javascript:chartPopup('BANKNIFTY',%20'OPTIDX',%20'24DEC2020',%20'25900.00','PE','NIFTY%20PSE');" TargetMode="External"/><Relationship Id="rId386" Type="http://schemas.openxmlformats.org/officeDocument/2006/relationships/hyperlink" Target="javascript:chartPopup('BANKNIFTY',%20'OPTIDX',%20'24DEC2020',%20'30400.00','PE','NIFTY%20PSE');" TargetMode="External"/><Relationship Id="rId190" Type="http://schemas.openxmlformats.org/officeDocument/2006/relationships/hyperlink" Target="/live_market/dynaContent/live_watch/option_chain/optionDates.jsp?symbol=BANKNIFTY&amp;instrument=OPTIDX&amp;strike=26200.00" TargetMode="External"/><Relationship Id="rId204" Type="http://schemas.openxmlformats.org/officeDocument/2006/relationships/hyperlink" Target="/live_market/dynaContent/live_watch/get_quote/GetQuoteFO.jsp?underlying=BANKNIFTY&amp;instrument=OPTIDX&amp;strike=26500.00&amp;type=PE&amp;expiry=24DEC2020" TargetMode="External"/><Relationship Id="rId246" Type="http://schemas.openxmlformats.org/officeDocument/2006/relationships/hyperlink" Target="/live_market/dynaContent/live_watch/get_quote/GetQuoteFO.jsp?underlying=BANKNIFTY&amp;instrument=OPTIDX&amp;strike=27500.00&amp;type=CE&amp;expiry=24DEC2020" TargetMode="External"/><Relationship Id="rId288" Type="http://schemas.openxmlformats.org/officeDocument/2006/relationships/hyperlink" Target="/live_market/dynaContent/live_watch/get_quote/GetQuoteFO.jsp?underlying=BANKNIFTY&amp;instrument=OPTIDX&amp;strike=28500.00&amp;type=CE&amp;expiry=24DEC2020" TargetMode="External"/><Relationship Id="rId411" Type="http://schemas.openxmlformats.org/officeDocument/2006/relationships/hyperlink" Target="javascript:chartPopup('BANKNIFTY',%20'OPTIDX',%20'24DEC2020',%20'30900.00','PE','NIFTY%20PSE');" TargetMode="External"/><Relationship Id="rId453" Type="http://schemas.openxmlformats.org/officeDocument/2006/relationships/hyperlink" Target="/live_market/dynaContent/live_watch/get_quote/GetQuoteFO.jsp?underlying=BANKNIFTY&amp;instrument=OPTIDX&amp;strike=31800.00&amp;type=CE&amp;expiry=24DEC2020" TargetMode="External"/><Relationship Id="rId509" Type="http://schemas.openxmlformats.org/officeDocument/2006/relationships/hyperlink" Target="/live_market/dynaContent/live_watch/get_quote/GetQuoteFO.jsp?underlying=BANKNIFTY&amp;instrument=OPTIDX&amp;strike=33100.00&amp;type=CE&amp;expiry=24DEC2020" TargetMode="External"/><Relationship Id="rId106" Type="http://schemas.openxmlformats.org/officeDocument/2006/relationships/hyperlink" Target="javascript:chartPopup('BANKNIFTY',%20'OPTIDX',%20'24DEC2020',%20'23900.00','CE','NIFTY%20PSE');" TargetMode="External"/><Relationship Id="rId313" Type="http://schemas.openxmlformats.org/officeDocument/2006/relationships/hyperlink" Target="/live_market/dynaContent/live_watch/get_quote/GetQuoteFO.jsp?underlying=BANKNIFTY&amp;instrument=OPTIDX&amp;strike=29000.00&amp;type=CE&amp;expiry=24DEC2020" TargetMode="External"/><Relationship Id="rId495" Type="http://schemas.openxmlformats.org/officeDocument/2006/relationships/hyperlink" Target="javascript:chartPopup('BANKNIFTY',%20'OPTIDX',%20'24DEC2020',%20'32700.00','PE','NIFTY%20PSE');" TargetMode="External"/><Relationship Id="rId10" Type="http://schemas.openxmlformats.org/officeDocument/2006/relationships/hyperlink" Target="javascript:chartPopup('BANKNIFTY',%20'OPTIDX',%20'24DEC2020',%20'21100.00','CE','NIFTY%20PSE');" TargetMode="External"/><Relationship Id="rId52" Type="http://schemas.openxmlformats.org/officeDocument/2006/relationships/hyperlink" Target="javascript:chartPopup('BANKNIFTY',%20'OPTIDX',%20'24DEC2020',%20'22300.00','CE','NIFTY%20PSE');" TargetMode="External"/><Relationship Id="rId94" Type="http://schemas.openxmlformats.org/officeDocument/2006/relationships/hyperlink" Target="/live_market/dynaContent/live_watch/option_chain/optionDates.jsp?symbol=BANKNIFTY&amp;instrument=OPTIDX&amp;strike=23500.00" TargetMode="External"/><Relationship Id="rId148" Type="http://schemas.openxmlformats.org/officeDocument/2006/relationships/hyperlink" Target="javascript:chartPopup('BANKNIFTY',%20'OPTIDX',%20'24DEC2020',%20'25100.00','CE','NIFTY%20PSE');" TargetMode="External"/><Relationship Id="rId355" Type="http://schemas.openxmlformats.org/officeDocument/2006/relationships/hyperlink" Target="/live_market/dynaContent/live_watch/get_quote/GetQuoteFO.jsp?underlying=BANKNIFTY&amp;instrument=OPTIDX&amp;strike=29800.00&amp;type=PE&amp;expiry=24DEC2020" TargetMode="External"/><Relationship Id="rId397" Type="http://schemas.openxmlformats.org/officeDocument/2006/relationships/hyperlink" Target="javascript:chartPopup('BANKNIFTY',%20'OPTIDX',%20'24DEC2020',%20'30700.00','CE','NIFTY%20PSE');" TargetMode="External"/><Relationship Id="rId520" Type="http://schemas.openxmlformats.org/officeDocument/2006/relationships/hyperlink" Target="javascript:chartPopup('BANKNIFTY',%20'OPTIDX',%20'24DEC2020',%20'33400.00','CE','NIFTY%20PSE');" TargetMode="External"/><Relationship Id="rId215" Type="http://schemas.openxmlformats.org/officeDocument/2006/relationships/hyperlink" Target="/live_market/dynaContent/live_watch/option_chain/optionDates.jsp?symbol=BANKNIFTY&amp;instrument=OPTIDX&amp;strike=26800.00" TargetMode="External"/><Relationship Id="rId257" Type="http://schemas.openxmlformats.org/officeDocument/2006/relationships/hyperlink" Target="javascript:chartPopup('BANKNIFTY',%20'OPTIDX',%20'24DEC2020',%20'27700.00','PE','NIFTY%20PSE');" TargetMode="External"/><Relationship Id="rId422" Type="http://schemas.openxmlformats.org/officeDocument/2006/relationships/hyperlink" Target="javascript:chartPopup('BANKNIFTY',%20'OPTIDX',%20'24DEC2020',%20'31200.00','CE','NIFTY%20PSE');" TargetMode="External"/><Relationship Id="rId464" Type="http://schemas.openxmlformats.org/officeDocument/2006/relationships/hyperlink" Target="/live_market/dynaContent/live_watch/option_chain/optionDates.jsp?symbol=BANKNIFTY&amp;instrument=OPTIDX&amp;strike=32000.00" TargetMode="External"/><Relationship Id="rId299" Type="http://schemas.openxmlformats.org/officeDocument/2006/relationships/hyperlink" Target="/live_market/dynaContent/live_watch/option_chain/optionDates.jsp?symbol=BANKNIFTY&amp;instrument=OPTIDX&amp;strike=28700.00" TargetMode="External"/><Relationship Id="rId63" Type="http://schemas.openxmlformats.org/officeDocument/2006/relationships/hyperlink" Target="javascript:chartPopup('BANKNIFTY',%20'OPTIDX',%20'24DEC2020',%20'22500.00','PE','NIFTY%20PSE');" TargetMode="External"/><Relationship Id="rId159" Type="http://schemas.openxmlformats.org/officeDocument/2006/relationships/hyperlink" Target="javascript:chartPopup('BANKNIFTY',%20'OPTIDX',%20'24DEC2020',%20'25400.00','PE','NIFTY%20PSE');" TargetMode="External"/><Relationship Id="rId366" Type="http://schemas.openxmlformats.org/officeDocument/2006/relationships/hyperlink" Target="javascript:chartPopup('BANKNIFTY',%20'OPTIDX',%20'24DEC2020',%20'30000.00','PE','NIFTY%20PSE');" TargetMode="External"/><Relationship Id="rId226" Type="http://schemas.openxmlformats.org/officeDocument/2006/relationships/hyperlink" Target="javascript:chartPopup('BANKNIFTY',%20'OPTIDX',%20'24DEC2020',%20'27000.00','PE','NIFTY%20PSE');" TargetMode="External"/><Relationship Id="rId433" Type="http://schemas.openxmlformats.org/officeDocument/2006/relationships/hyperlink" Target="/live_market/dynaContent/live_watch/get_quote/GetQuoteFO.jsp?underlying=BANKNIFTY&amp;instrument=OPTIDX&amp;strike=31400.00&amp;type=CE&amp;expiry=24DEC2020" TargetMode="External"/><Relationship Id="rId74" Type="http://schemas.openxmlformats.org/officeDocument/2006/relationships/hyperlink" Target="/live_market/dynaContent/live_watch/option_chain/optionDates.jsp?symbol=BANKNIFTY&amp;instrument=OPTIDX&amp;strike=22900.00" TargetMode="External"/><Relationship Id="rId377" Type="http://schemas.openxmlformats.org/officeDocument/2006/relationships/hyperlink" Target="javascript:chartPopup('BANKNIFTY',%20'OPTIDX',%20'24DEC2020',%20'30300.00','CE','NIFTY%20PSE');" TargetMode="External"/><Relationship Id="rId500" Type="http://schemas.openxmlformats.org/officeDocument/2006/relationships/hyperlink" Target="javascript:chartPopup('BANKNIFTY',%20'OPTIDX',%20'24DEC2020',%20'32900.00','CE','NIFTY%20PSE');" TargetMode="External"/><Relationship Id="rId5" Type="http://schemas.openxmlformats.org/officeDocument/2006/relationships/hyperlink" Target="javascript:chartPopup('BANKNIFTY',%20'OPTIDX',%20'24DEC2020',%20'20900.00','PE','NIFTY%20PSE');" TargetMode="External"/><Relationship Id="rId237" Type="http://schemas.openxmlformats.org/officeDocument/2006/relationships/hyperlink" Target="/live_market/dynaContent/live_watch/option_chain/optionDates.jsp?symbol=BANKNIFTY&amp;instrument=OPTIDX&amp;strike=27300.00" TargetMode="External"/><Relationship Id="rId444" Type="http://schemas.openxmlformats.org/officeDocument/2006/relationships/hyperlink" Target="/live_market/dynaContent/live_watch/option_chain/optionDates.jsp?symbol=BANKNIFTY&amp;instrument=OPTIDX&amp;strike=31600.0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68E96-3B4B-CD41-AAE8-C0067C6B161D}">
  <dimension ref="A1:W115"/>
  <sheetViews>
    <sheetView topLeftCell="B57" workbookViewId="0">
      <selection sqref="A1:A2"/>
    </sheetView>
  </sheetViews>
  <sheetFormatPr baseColWidth="10" defaultRowHeight="16" x14ac:dyDescent="0.2"/>
  <cols>
    <col min="1" max="1" width="44.1640625" bestFit="1" customWidth="1"/>
    <col min="2" max="2" width="57" bestFit="1" customWidth="1"/>
    <col min="3" max="4" width="8" bestFit="1" customWidth="1"/>
    <col min="5" max="5" width="2.6640625" bestFit="1" customWidth="1"/>
    <col min="6" max="6" width="8.1640625" bestFit="1" customWidth="1"/>
    <col min="7" max="7" width="7.33203125" bestFit="1" customWidth="1"/>
    <col min="8" max="8" width="6.83203125" bestFit="1" customWidth="1"/>
    <col min="9" max="10" width="7" bestFit="1" customWidth="1"/>
    <col min="11" max="11" width="6.83203125" bestFit="1" customWidth="1"/>
    <col min="12" max="12" width="8.83203125" bestFit="1" customWidth="1"/>
    <col min="13" max="13" width="6.83203125" bestFit="1" customWidth="1"/>
    <col min="14" max="15" width="7" bestFit="1" customWidth="1"/>
    <col min="16" max="16" width="5.6640625" bestFit="1" customWidth="1"/>
    <col min="17" max="17" width="7.33203125" bestFit="1" customWidth="1"/>
    <col min="18" max="18" width="7.1640625" bestFit="1" customWidth="1"/>
    <col min="19" max="19" width="2.6640625" bestFit="1" customWidth="1"/>
    <col min="20" max="21" width="8" bestFit="1" customWidth="1"/>
    <col min="22" max="22" width="9.33203125" bestFit="1" customWidth="1"/>
    <col min="23" max="23" width="6.1640625" bestFit="1" customWidth="1"/>
  </cols>
  <sheetData>
    <row r="1" spans="1:23" ht="16" customHeight="1" x14ac:dyDescent="0.2">
      <c r="A1" s="43" t="s">
        <v>0</v>
      </c>
      <c r="B1" s="44" t="s">
        <v>31</v>
      </c>
    </row>
    <row r="2" spans="1:23" ht="16" customHeight="1" x14ac:dyDescent="0.2">
      <c r="A2" s="43"/>
      <c r="B2" s="44"/>
    </row>
    <row r="5" spans="1:23" x14ac:dyDescent="0.2">
      <c r="A5" s="40"/>
    </row>
    <row r="7" spans="1:23" x14ac:dyDescent="0.2">
      <c r="A7" s="45" t="s">
        <v>1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39"/>
      <c r="M7" s="45" t="s">
        <v>2</v>
      </c>
      <c r="N7" s="45"/>
      <c r="O7" s="45"/>
      <c r="P7" s="45"/>
      <c r="Q7" s="45"/>
      <c r="R7" s="45"/>
      <c r="S7" s="45"/>
      <c r="T7" s="45"/>
      <c r="U7" s="45"/>
      <c r="V7" s="45"/>
      <c r="W7" s="45"/>
    </row>
    <row r="8" spans="1:23" x14ac:dyDescent="0.2">
      <c r="A8" s="45" t="s">
        <v>3</v>
      </c>
      <c r="B8" s="45" t="s">
        <v>4</v>
      </c>
      <c r="C8" s="45" t="s">
        <v>5</v>
      </c>
      <c r="D8" s="45" t="s">
        <v>6</v>
      </c>
      <c r="E8" s="45" t="s">
        <v>7</v>
      </c>
      <c r="F8" s="45" t="s">
        <v>8</v>
      </c>
      <c r="G8" s="45" t="s">
        <v>9</v>
      </c>
      <c r="H8" s="39" t="s">
        <v>10</v>
      </c>
      <c r="I8" s="39" t="s">
        <v>10</v>
      </c>
      <c r="J8" s="39" t="s">
        <v>13</v>
      </c>
      <c r="K8" s="39" t="s">
        <v>13</v>
      </c>
      <c r="L8" s="45" t="s">
        <v>14</v>
      </c>
      <c r="M8" s="39" t="s">
        <v>10</v>
      </c>
      <c r="N8" s="39" t="s">
        <v>10</v>
      </c>
      <c r="O8" s="39" t="s">
        <v>13</v>
      </c>
      <c r="P8" s="39" t="s">
        <v>13</v>
      </c>
      <c r="Q8" s="45" t="s">
        <v>9</v>
      </c>
      <c r="R8" s="45" t="s">
        <v>8</v>
      </c>
      <c r="S8" s="45" t="s">
        <v>7</v>
      </c>
      <c r="T8" s="45" t="s">
        <v>6</v>
      </c>
      <c r="U8" s="45" t="s">
        <v>5</v>
      </c>
      <c r="V8" s="45" t="s">
        <v>4</v>
      </c>
      <c r="W8" s="45" t="s">
        <v>3</v>
      </c>
    </row>
    <row r="9" spans="1:23" x14ac:dyDescent="0.2">
      <c r="A9" s="45"/>
      <c r="B9" s="45"/>
      <c r="C9" s="45"/>
      <c r="D9" s="45"/>
      <c r="E9" s="45"/>
      <c r="F9" s="45"/>
      <c r="G9" s="45"/>
      <c r="H9" s="39" t="s">
        <v>11</v>
      </c>
      <c r="I9" s="39" t="s">
        <v>12</v>
      </c>
      <c r="J9" s="39" t="s">
        <v>12</v>
      </c>
      <c r="K9" s="39" t="s">
        <v>11</v>
      </c>
      <c r="L9" s="45"/>
      <c r="M9" s="39" t="s">
        <v>11</v>
      </c>
      <c r="N9" s="39" t="s">
        <v>12</v>
      </c>
      <c r="O9" s="39" t="s">
        <v>12</v>
      </c>
      <c r="P9" s="39" t="s">
        <v>11</v>
      </c>
      <c r="Q9" s="45"/>
      <c r="R9" s="45"/>
      <c r="S9" s="45"/>
      <c r="T9" s="45"/>
      <c r="U9" s="45"/>
      <c r="V9" s="45"/>
      <c r="W9" s="45"/>
    </row>
    <row r="10" spans="1:23" ht="17" x14ac:dyDescent="0.2">
      <c r="A10" s="2" t="s">
        <v>15</v>
      </c>
      <c r="B10" s="1">
        <v>225</v>
      </c>
      <c r="C10" s="1">
        <v>150</v>
      </c>
      <c r="D10" s="1">
        <v>4</v>
      </c>
      <c r="E10" s="1" t="s">
        <v>16</v>
      </c>
      <c r="F10" s="8">
        <v>3610.55</v>
      </c>
      <c r="G10" s="6">
        <v>553.1</v>
      </c>
      <c r="H10" s="1">
        <v>600</v>
      </c>
      <c r="I10" s="5">
        <v>3446.55</v>
      </c>
      <c r="J10" s="5">
        <v>3576.9</v>
      </c>
      <c r="K10" s="4">
        <v>1725</v>
      </c>
      <c r="L10" s="2">
        <v>10150</v>
      </c>
      <c r="M10" s="4">
        <v>6225</v>
      </c>
      <c r="N10" s="1">
        <v>0.05</v>
      </c>
      <c r="O10" s="1">
        <v>0.25</v>
      </c>
      <c r="P10" s="4">
        <v>3075</v>
      </c>
      <c r="Q10" s="7">
        <v>-0.2</v>
      </c>
      <c r="R10" s="2">
        <v>0.05</v>
      </c>
      <c r="S10" s="1" t="s">
        <v>16</v>
      </c>
      <c r="T10" s="4">
        <v>3402</v>
      </c>
      <c r="U10" s="4">
        <v>69825</v>
      </c>
      <c r="V10" s="4">
        <v>264675</v>
      </c>
      <c r="W10" s="2" t="s">
        <v>15</v>
      </c>
    </row>
    <row r="11" spans="1:23" ht="17" x14ac:dyDescent="0.2">
      <c r="A11" s="2" t="s">
        <v>15</v>
      </c>
      <c r="B11" s="1">
        <v>75</v>
      </c>
      <c r="C11" s="1">
        <v>75</v>
      </c>
      <c r="D11" s="1">
        <v>2</v>
      </c>
      <c r="E11" s="1" t="s">
        <v>16</v>
      </c>
      <c r="F11" s="8">
        <v>3515</v>
      </c>
      <c r="G11" s="9">
        <v>1901.5</v>
      </c>
      <c r="H11" s="1">
        <v>75</v>
      </c>
      <c r="I11" s="5">
        <v>3462.9</v>
      </c>
      <c r="J11" s="5">
        <v>3507.95</v>
      </c>
      <c r="K11" s="4">
        <v>1725</v>
      </c>
      <c r="L11" s="2">
        <v>10200</v>
      </c>
      <c r="M11" s="4">
        <v>3750</v>
      </c>
      <c r="N11" s="1">
        <v>0.1</v>
      </c>
      <c r="O11" s="1">
        <v>0.15</v>
      </c>
      <c r="P11" s="4">
        <v>20250</v>
      </c>
      <c r="Q11" s="7">
        <v>-0.25</v>
      </c>
      <c r="R11" s="2">
        <v>0.15</v>
      </c>
      <c r="S11" s="1" t="s">
        <v>16</v>
      </c>
      <c r="T11" s="4">
        <v>3295</v>
      </c>
      <c r="U11" s="4">
        <v>-2025</v>
      </c>
      <c r="V11" s="4">
        <v>257925</v>
      </c>
      <c r="W11" s="2" t="s">
        <v>15</v>
      </c>
    </row>
    <row r="12" spans="1:23" ht="17" x14ac:dyDescent="0.2">
      <c r="A12" s="2" t="s">
        <v>15</v>
      </c>
      <c r="B12" s="1" t="s">
        <v>16</v>
      </c>
      <c r="C12" s="1" t="s">
        <v>16</v>
      </c>
      <c r="D12" s="1" t="s">
        <v>16</v>
      </c>
      <c r="E12" s="1" t="s">
        <v>16</v>
      </c>
      <c r="F12" s="1" t="s">
        <v>16</v>
      </c>
      <c r="G12" s="3" t="s">
        <v>16</v>
      </c>
      <c r="H12" s="4">
        <v>1725</v>
      </c>
      <c r="I12" s="5">
        <v>2747.45</v>
      </c>
      <c r="J12" s="5">
        <v>3992.9</v>
      </c>
      <c r="K12" s="4">
        <v>1725</v>
      </c>
      <c r="L12" s="2">
        <v>10250</v>
      </c>
      <c r="M12" s="4">
        <v>2400</v>
      </c>
      <c r="N12" s="1">
        <v>0.05</v>
      </c>
      <c r="O12" s="1">
        <v>0.15</v>
      </c>
      <c r="P12" s="1">
        <v>450</v>
      </c>
      <c r="Q12" s="7">
        <v>-0.3</v>
      </c>
      <c r="R12" s="2">
        <v>0.1</v>
      </c>
      <c r="S12" s="1" t="s">
        <v>16</v>
      </c>
      <c r="T12" s="4">
        <v>3687</v>
      </c>
      <c r="U12" s="4">
        <v>2775</v>
      </c>
      <c r="V12" s="4">
        <v>3225</v>
      </c>
      <c r="W12" s="2" t="s">
        <v>15</v>
      </c>
    </row>
    <row r="13" spans="1:23" ht="17" x14ac:dyDescent="0.2">
      <c r="A13" s="2" t="s">
        <v>15</v>
      </c>
      <c r="B13" s="1" t="s">
        <v>16</v>
      </c>
      <c r="C13" s="1" t="s">
        <v>16</v>
      </c>
      <c r="D13" s="1" t="s">
        <v>16</v>
      </c>
      <c r="E13" s="1" t="s">
        <v>16</v>
      </c>
      <c r="F13" s="1" t="s">
        <v>16</v>
      </c>
      <c r="G13" s="3" t="s">
        <v>16</v>
      </c>
      <c r="H13" s="4">
        <v>1725</v>
      </c>
      <c r="I13" s="5">
        <v>3254.65</v>
      </c>
      <c r="J13" s="5">
        <v>3951.3</v>
      </c>
      <c r="K13" s="4">
        <v>1725</v>
      </c>
      <c r="L13" s="2">
        <v>10300</v>
      </c>
      <c r="M13" s="4">
        <v>2400</v>
      </c>
      <c r="N13" s="1">
        <v>0.1</v>
      </c>
      <c r="O13" s="1">
        <v>0.15</v>
      </c>
      <c r="P13" s="4">
        <v>1500</v>
      </c>
      <c r="Q13" s="7">
        <v>-0.3</v>
      </c>
      <c r="R13" s="2">
        <v>0.1</v>
      </c>
      <c r="S13" s="1" t="s">
        <v>16</v>
      </c>
      <c r="T13" s="4">
        <v>2053</v>
      </c>
      <c r="U13" s="4">
        <v>11700</v>
      </c>
      <c r="V13" s="4">
        <v>18675</v>
      </c>
      <c r="W13" s="2" t="s">
        <v>15</v>
      </c>
    </row>
    <row r="14" spans="1:23" ht="17" x14ac:dyDescent="0.2">
      <c r="A14" s="2" t="s">
        <v>15</v>
      </c>
      <c r="B14" s="1" t="s">
        <v>16</v>
      </c>
      <c r="C14" s="1" t="s">
        <v>16</v>
      </c>
      <c r="D14" s="1" t="s">
        <v>16</v>
      </c>
      <c r="E14" s="1" t="s">
        <v>16</v>
      </c>
      <c r="F14" s="1" t="s">
        <v>16</v>
      </c>
      <c r="G14" s="3" t="s">
        <v>16</v>
      </c>
      <c r="H14" s="4">
        <v>1725</v>
      </c>
      <c r="I14" s="5">
        <v>2642.8</v>
      </c>
      <c r="J14" s="5">
        <v>3902.7</v>
      </c>
      <c r="K14" s="4">
        <v>1725</v>
      </c>
      <c r="L14" s="2">
        <v>10350</v>
      </c>
      <c r="M14" s="4">
        <v>3000</v>
      </c>
      <c r="N14" s="1">
        <v>0.05</v>
      </c>
      <c r="O14" s="1">
        <v>0.2</v>
      </c>
      <c r="P14" s="1">
        <v>75</v>
      </c>
      <c r="Q14" s="7">
        <v>-0.5</v>
      </c>
      <c r="R14" s="2">
        <v>0.05</v>
      </c>
      <c r="S14" s="1" t="s">
        <v>16</v>
      </c>
      <c r="T14" s="4">
        <v>1312</v>
      </c>
      <c r="U14" s="4">
        <v>3000</v>
      </c>
      <c r="V14" s="4">
        <v>3525</v>
      </c>
      <c r="W14" s="2" t="s">
        <v>15</v>
      </c>
    </row>
    <row r="15" spans="1:23" ht="17" x14ac:dyDescent="0.2">
      <c r="A15" s="2" t="s">
        <v>15</v>
      </c>
      <c r="B15" s="1" t="s">
        <v>16</v>
      </c>
      <c r="C15" s="1" t="s">
        <v>16</v>
      </c>
      <c r="D15" s="1" t="s">
        <v>16</v>
      </c>
      <c r="E15" s="1" t="s">
        <v>16</v>
      </c>
      <c r="F15" s="1" t="s">
        <v>16</v>
      </c>
      <c r="G15" s="3" t="s">
        <v>16</v>
      </c>
      <c r="H15" s="4">
        <v>1725</v>
      </c>
      <c r="I15" s="5">
        <v>2596.75</v>
      </c>
      <c r="J15" s="5">
        <v>3849.6</v>
      </c>
      <c r="K15" s="4">
        <v>1725</v>
      </c>
      <c r="L15" s="2">
        <v>10400</v>
      </c>
      <c r="M15" s="1" t="s">
        <v>16</v>
      </c>
      <c r="N15" s="1" t="s">
        <v>16</v>
      </c>
      <c r="O15" s="1">
        <v>0.05</v>
      </c>
      <c r="P15" s="1">
        <v>525</v>
      </c>
      <c r="Q15" s="7">
        <v>-0.45</v>
      </c>
      <c r="R15" s="2">
        <v>0.05</v>
      </c>
      <c r="S15" s="1" t="s">
        <v>16</v>
      </c>
      <c r="T15" s="1">
        <v>591</v>
      </c>
      <c r="U15" s="4">
        <v>22500</v>
      </c>
      <c r="V15" s="4">
        <v>55425</v>
      </c>
      <c r="W15" s="2" t="s">
        <v>15</v>
      </c>
    </row>
    <row r="16" spans="1:23" ht="17" x14ac:dyDescent="0.2">
      <c r="A16" s="2" t="s">
        <v>15</v>
      </c>
      <c r="B16" s="1">
        <v>75</v>
      </c>
      <c r="C16" s="1" t="s">
        <v>16</v>
      </c>
      <c r="D16" s="1" t="s">
        <v>16</v>
      </c>
      <c r="E16" s="1" t="s">
        <v>16</v>
      </c>
      <c r="F16" s="1" t="s">
        <v>16</v>
      </c>
      <c r="G16" s="3" t="s">
        <v>16</v>
      </c>
      <c r="H16" s="4">
        <v>1725</v>
      </c>
      <c r="I16" s="5">
        <v>2541.3000000000002</v>
      </c>
      <c r="J16" s="5">
        <v>3798</v>
      </c>
      <c r="K16" s="4">
        <v>1725</v>
      </c>
      <c r="L16" s="2">
        <v>10450</v>
      </c>
      <c r="M16" s="1">
        <v>600</v>
      </c>
      <c r="N16" s="1">
        <v>0.05</v>
      </c>
      <c r="O16" s="1">
        <v>0.15</v>
      </c>
      <c r="P16" s="1">
        <v>150</v>
      </c>
      <c r="Q16" s="7">
        <v>-0.25</v>
      </c>
      <c r="R16" s="2">
        <v>0.1</v>
      </c>
      <c r="S16" s="1" t="s">
        <v>16</v>
      </c>
      <c r="T16" s="1">
        <v>409</v>
      </c>
      <c r="U16" s="1">
        <v>-300</v>
      </c>
      <c r="V16" s="1">
        <v>975</v>
      </c>
      <c r="W16" s="2" t="s">
        <v>15</v>
      </c>
    </row>
    <row r="17" spans="1:23" ht="17" x14ac:dyDescent="0.2">
      <c r="A17" s="2" t="s">
        <v>15</v>
      </c>
      <c r="B17" s="1" t="s">
        <v>16</v>
      </c>
      <c r="C17" s="1" t="s">
        <v>16</v>
      </c>
      <c r="D17" s="1" t="s">
        <v>16</v>
      </c>
      <c r="E17" s="1" t="s">
        <v>16</v>
      </c>
      <c r="F17" s="1" t="s">
        <v>16</v>
      </c>
      <c r="G17" s="3" t="s">
        <v>16</v>
      </c>
      <c r="H17" s="4">
        <v>1725</v>
      </c>
      <c r="I17" s="5">
        <v>3131.2</v>
      </c>
      <c r="J17" s="5">
        <v>3242.1</v>
      </c>
      <c r="K17" s="4">
        <v>1725</v>
      </c>
      <c r="L17" s="2">
        <v>10500</v>
      </c>
      <c r="M17" s="4">
        <v>1500</v>
      </c>
      <c r="N17" s="1">
        <v>0.1</v>
      </c>
      <c r="O17" s="1">
        <v>0.15</v>
      </c>
      <c r="P17" s="4">
        <v>14475</v>
      </c>
      <c r="Q17" s="7">
        <v>-0.35</v>
      </c>
      <c r="R17" s="2">
        <v>0.1</v>
      </c>
      <c r="S17" s="1" t="s">
        <v>16</v>
      </c>
      <c r="T17" s="4">
        <v>1459</v>
      </c>
      <c r="U17" s="1">
        <v>600</v>
      </c>
      <c r="V17" s="4">
        <v>108300</v>
      </c>
      <c r="W17" s="2" t="s">
        <v>15</v>
      </c>
    </row>
    <row r="18" spans="1:23" ht="17" x14ac:dyDescent="0.2">
      <c r="A18" s="2" t="s">
        <v>15</v>
      </c>
      <c r="B18" s="1">
        <v>225</v>
      </c>
      <c r="C18" s="1" t="s">
        <v>16</v>
      </c>
      <c r="D18" s="1" t="s">
        <v>16</v>
      </c>
      <c r="E18" s="1" t="s">
        <v>16</v>
      </c>
      <c r="F18" s="1" t="s">
        <v>16</v>
      </c>
      <c r="G18" s="3" t="s">
        <v>16</v>
      </c>
      <c r="H18" s="4">
        <v>1725</v>
      </c>
      <c r="I18" s="5">
        <v>3043.4</v>
      </c>
      <c r="J18" s="5">
        <v>3210.35</v>
      </c>
      <c r="K18" s="4">
        <v>1725</v>
      </c>
      <c r="L18" s="2">
        <v>10550</v>
      </c>
      <c r="M18" s="4">
        <v>3000</v>
      </c>
      <c r="N18" s="1">
        <v>0.05</v>
      </c>
      <c r="O18" s="1">
        <v>0.25</v>
      </c>
      <c r="P18" s="1">
        <v>150</v>
      </c>
      <c r="Q18" s="7">
        <v>-0.45</v>
      </c>
      <c r="R18" s="2">
        <v>0.05</v>
      </c>
      <c r="S18" s="1" t="s">
        <v>16</v>
      </c>
      <c r="T18" s="1">
        <v>271</v>
      </c>
      <c r="U18" s="4">
        <v>-1050</v>
      </c>
      <c r="V18" s="1">
        <v>375</v>
      </c>
      <c r="W18" s="2" t="s">
        <v>15</v>
      </c>
    </row>
    <row r="19" spans="1:23" ht="17" x14ac:dyDescent="0.2">
      <c r="A19" s="2" t="s">
        <v>15</v>
      </c>
      <c r="B19" s="1" t="s">
        <v>16</v>
      </c>
      <c r="C19" s="1" t="s">
        <v>16</v>
      </c>
      <c r="D19" s="1" t="s">
        <v>16</v>
      </c>
      <c r="E19" s="1" t="s">
        <v>16</v>
      </c>
      <c r="F19" s="1" t="s">
        <v>16</v>
      </c>
      <c r="G19" s="3" t="s">
        <v>16</v>
      </c>
      <c r="H19" s="4">
        <v>1725</v>
      </c>
      <c r="I19" s="5">
        <v>2384.1999999999998</v>
      </c>
      <c r="J19" s="5">
        <v>3644.95</v>
      </c>
      <c r="K19" s="4">
        <v>1725</v>
      </c>
      <c r="L19" s="2">
        <v>10600</v>
      </c>
      <c r="M19" s="1">
        <v>225</v>
      </c>
      <c r="N19" s="1">
        <v>0.05</v>
      </c>
      <c r="O19" s="1">
        <v>0.15</v>
      </c>
      <c r="P19" s="4">
        <v>1050</v>
      </c>
      <c r="Q19" s="7">
        <v>-0.65</v>
      </c>
      <c r="R19" s="2">
        <v>0.05</v>
      </c>
      <c r="S19" s="1" t="s">
        <v>16</v>
      </c>
      <c r="T19" s="1">
        <v>652</v>
      </c>
      <c r="U19" s="4">
        <v>4725</v>
      </c>
      <c r="V19" s="4">
        <v>16800</v>
      </c>
      <c r="W19" s="2" t="s">
        <v>15</v>
      </c>
    </row>
    <row r="20" spans="1:23" ht="17" x14ac:dyDescent="0.2">
      <c r="A20" s="2" t="s">
        <v>15</v>
      </c>
      <c r="B20" s="1">
        <v>75</v>
      </c>
      <c r="C20" s="1" t="s">
        <v>16</v>
      </c>
      <c r="D20" s="1" t="s">
        <v>16</v>
      </c>
      <c r="E20" s="1" t="s">
        <v>16</v>
      </c>
      <c r="F20" s="1" t="s">
        <v>16</v>
      </c>
      <c r="G20" s="3" t="s">
        <v>16</v>
      </c>
      <c r="H20" s="4">
        <v>1725</v>
      </c>
      <c r="I20" s="5">
        <v>2951.25</v>
      </c>
      <c r="J20" s="5">
        <v>3112.1</v>
      </c>
      <c r="K20" s="4">
        <v>1725</v>
      </c>
      <c r="L20" s="2">
        <v>10650</v>
      </c>
      <c r="M20" s="4">
        <v>1050</v>
      </c>
      <c r="N20" s="1">
        <v>0.05</v>
      </c>
      <c r="O20" s="1">
        <v>0.15</v>
      </c>
      <c r="P20" s="4">
        <v>1200</v>
      </c>
      <c r="Q20" s="7">
        <v>-0.65</v>
      </c>
      <c r="R20" s="2">
        <v>0.15</v>
      </c>
      <c r="S20" s="1" t="s">
        <v>16</v>
      </c>
      <c r="T20" s="1">
        <v>83</v>
      </c>
      <c r="U20" s="4">
        <v>2100</v>
      </c>
      <c r="V20" s="4">
        <v>2325</v>
      </c>
      <c r="W20" s="2" t="s">
        <v>15</v>
      </c>
    </row>
    <row r="21" spans="1:23" ht="17" x14ac:dyDescent="0.2">
      <c r="A21" s="2" t="s">
        <v>15</v>
      </c>
      <c r="B21" s="1" t="s">
        <v>16</v>
      </c>
      <c r="C21" s="1" t="s">
        <v>16</v>
      </c>
      <c r="D21" s="1" t="s">
        <v>16</v>
      </c>
      <c r="E21" s="1" t="s">
        <v>16</v>
      </c>
      <c r="F21" s="1" t="s">
        <v>16</v>
      </c>
      <c r="G21" s="3" t="s">
        <v>16</v>
      </c>
      <c r="H21" s="4">
        <v>1725</v>
      </c>
      <c r="I21" s="5">
        <v>2286.15</v>
      </c>
      <c r="J21" s="5">
        <v>3554.8</v>
      </c>
      <c r="K21" s="4">
        <v>1725</v>
      </c>
      <c r="L21" s="2">
        <v>10700</v>
      </c>
      <c r="M21" s="4">
        <v>2325</v>
      </c>
      <c r="N21" s="1">
        <v>0.05</v>
      </c>
      <c r="O21" s="1">
        <v>0.2</v>
      </c>
      <c r="P21" s="4">
        <v>1350</v>
      </c>
      <c r="Q21" s="7">
        <v>-0.3</v>
      </c>
      <c r="R21" s="2">
        <v>0.1</v>
      </c>
      <c r="S21" s="1" t="s">
        <v>16</v>
      </c>
      <c r="T21" s="1">
        <v>120</v>
      </c>
      <c r="U21" s="4">
        <v>2175</v>
      </c>
      <c r="V21" s="4">
        <v>2850</v>
      </c>
      <c r="W21" s="2" t="s">
        <v>15</v>
      </c>
    </row>
    <row r="22" spans="1:23" ht="17" x14ac:dyDescent="0.2">
      <c r="A22" s="2" t="s">
        <v>15</v>
      </c>
      <c r="B22" s="4">
        <v>1050</v>
      </c>
      <c r="C22" s="1" t="s">
        <v>16</v>
      </c>
      <c r="D22" s="1" t="s">
        <v>16</v>
      </c>
      <c r="E22" s="1" t="s">
        <v>16</v>
      </c>
      <c r="F22" s="1" t="s">
        <v>16</v>
      </c>
      <c r="G22" s="3" t="s">
        <v>16</v>
      </c>
      <c r="H22" s="4">
        <v>1725</v>
      </c>
      <c r="I22" s="5">
        <v>2843.7</v>
      </c>
      <c r="J22" s="5">
        <v>3034.95</v>
      </c>
      <c r="K22" s="4">
        <v>2025</v>
      </c>
      <c r="L22" s="2">
        <v>10750</v>
      </c>
      <c r="M22" s="4">
        <v>2550</v>
      </c>
      <c r="N22" s="1">
        <v>0.05</v>
      </c>
      <c r="O22" s="1">
        <v>0.3</v>
      </c>
      <c r="P22" s="1">
        <v>675</v>
      </c>
      <c r="Q22" s="7">
        <v>-0.1</v>
      </c>
      <c r="R22" s="2">
        <v>0.3</v>
      </c>
      <c r="S22" s="1" t="s">
        <v>16</v>
      </c>
      <c r="T22" s="1">
        <v>4</v>
      </c>
      <c r="U22" s="1" t="s">
        <v>16</v>
      </c>
      <c r="V22" s="4">
        <v>2175</v>
      </c>
      <c r="W22" s="2" t="s">
        <v>15</v>
      </c>
    </row>
    <row r="23" spans="1:23" ht="17" x14ac:dyDescent="0.2">
      <c r="A23" s="2" t="s">
        <v>15</v>
      </c>
      <c r="B23" s="1">
        <v>75</v>
      </c>
      <c r="C23" s="1" t="s">
        <v>16</v>
      </c>
      <c r="D23" s="1" t="s">
        <v>16</v>
      </c>
      <c r="E23" s="1" t="s">
        <v>16</v>
      </c>
      <c r="F23" s="1" t="s">
        <v>16</v>
      </c>
      <c r="G23" s="3" t="s">
        <v>16</v>
      </c>
      <c r="H23" s="4">
        <v>1725</v>
      </c>
      <c r="I23" s="5">
        <v>2185.5500000000002</v>
      </c>
      <c r="J23" s="5">
        <v>3015.7</v>
      </c>
      <c r="K23" s="4">
        <v>1725</v>
      </c>
      <c r="L23" s="2">
        <v>10800</v>
      </c>
      <c r="M23" s="4">
        <v>3375</v>
      </c>
      <c r="N23" s="1">
        <v>0.1</v>
      </c>
      <c r="O23" s="1">
        <v>0.2</v>
      </c>
      <c r="P23" s="4">
        <v>5850</v>
      </c>
      <c r="Q23" s="7">
        <v>-0.6</v>
      </c>
      <c r="R23" s="2">
        <v>0.2</v>
      </c>
      <c r="S23" s="1" t="s">
        <v>16</v>
      </c>
      <c r="T23" s="1">
        <v>490</v>
      </c>
      <c r="U23" s="4">
        <v>1500</v>
      </c>
      <c r="V23" s="4">
        <v>26175</v>
      </c>
      <c r="W23" s="2" t="s">
        <v>15</v>
      </c>
    </row>
    <row r="24" spans="1:23" ht="17" x14ac:dyDescent="0.2">
      <c r="A24" s="2" t="s">
        <v>15</v>
      </c>
      <c r="B24" s="1" t="s">
        <v>16</v>
      </c>
      <c r="C24" s="1" t="s">
        <v>16</v>
      </c>
      <c r="D24" s="1" t="s">
        <v>16</v>
      </c>
      <c r="E24" s="1" t="s">
        <v>16</v>
      </c>
      <c r="F24" s="1" t="s">
        <v>16</v>
      </c>
      <c r="G24" s="3" t="s">
        <v>16</v>
      </c>
      <c r="H24" s="4">
        <v>1725</v>
      </c>
      <c r="I24" s="5">
        <v>2132.5500000000002</v>
      </c>
      <c r="J24" s="5">
        <v>3413.2</v>
      </c>
      <c r="K24" s="4">
        <v>1725</v>
      </c>
      <c r="L24" s="2">
        <v>10850</v>
      </c>
      <c r="M24" s="4">
        <v>3000</v>
      </c>
      <c r="N24" s="1">
        <v>0.05</v>
      </c>
      <c r="O24" s="1">
        <v>0.4</v>
      </c>
      <c r="P24" s="1">
        <v>75</v>
      </c>
      <c r="Q24" s="7">
        <v>-194.95</v>
      </c>
      <c r="R24" s="2">
        <v>0.05</v>
      </c>
      <c r="S24" s="1" t="s">
        <v>16</v>
      </c>
      <c r="T24" s="4">
        <v>9480</v>
      </c>
      <c r="U24" s="4">
        <v>7125</v>
      </c>
      <c r="V24" s="4">
        <v>7125</v>
      </c>
      <c r="W24" s="2" t="s">
        <v>15</v>
      </c>
    </row>
    <row r="25" spans="1:23" ht="17" x14ac:dyDescent="0.2">
      <c r="A25" s="2" t="s">
        <v>15</v>
      </c>
      <c r="B25" s="1" t="s">
        <v>16</v>
      </c>
      <c r="C25" s="1" t="s">
        <v>16</v>
      </c>
      <c r="D25" s="1" t="s">
        <v>16</v>
      </c>
      <c r="E25" s="1" t="s">
        <v>16</v>
      </c>
      <c r="F25" s="1" t="s">
        <v>16</v>
      </c>
      <c r="G25" s="3" t="s">
        <v>16</v>
      </c>
      <c r="H25" s="4">
        <v>1725</v>
      </c>
      <c r="I25" s="5">
        <v>2694.4</v>
      </c>
      <c r="J25" s="5">
        <v>3354.65</v>
      </c>
      <c r="K25" s="4">
        <v>1725</v>
      </c>
      <c r="L25" s="2">
        <v>10900</v>
      </c>
      <c r="M25" s="4">
        <v>9600</v>
      </c>
      <c r="N25" s="1">
        <v>0.05</v>
      </c>
      <c r="O25" s="1">
        <v>0.15</v>
      </c>
      <c r="P25" s="4">
        <v>2100</v>
      </c>
      <c r="Q25" s="7">
        <v>-0.75</v>
      </c>
      <c r="R25" s="2">
        <v>0.05</v>
      </c>
      <c r="S25" s="1" t="s">
        <v>16</v>
      </c>
      <c r="T25" s="1">
        <v>471</v>
      </c>
      <c r="U25" s="4">
        <v>8250</v>
      </c>
      <c r="V25" s="4">
        <v>19425</v>
      </c>
      <c r="W25" s="2" t="s">
        <v>15</v>
      </c>
    </row>
    <row r="26" spans="1:23" ht="17" x14ac:dyDescent="0.2">
      <c r="A26" s="2" t="s">
        <v>15</v>
      </c>
      <c r="B26" s="1">
        <v>75</v>
      </c>
      <c r="C26" s="1" t="s">
        <v>16</v>
      </c>
      <c r="D26" s="1" t="s">
        <v>16</v>
      </c>
      <c r="E26" s="1" t="s">
        <v>16</v>
      </c>
      <c r="F26" s="1" t="s">
        <v>16</v>
      </c>
      <c r="G26" s="3" t="s">
        <v>16</v>
      </c>
      <c r="H26" s="4">
        <v>1725</v>
      </c>
      <c r="I26" s="5">
        <v>2644.6</v>
      </c>
      <c r="J26" s="5">
        <v>3306.15</v>
      </c>
      <c r="K26" s="4">
        <v>1725</v>
      </c>
      <c r="L26" s="2">
        <v>10950</v>
      </c>
      <c r="M26" s="1">
        <v>825</v>
      </c>
      <c r="N26" s="1">
        <v>0.1</v>
      </c>
      <c r="O26" s="1">
        <v>0.3</v>
      </c>
      <c r="P26" s="1">
        <v>675</v>
      </c>
      <c r="Q26" s="3" t="s">
        <v>16</v>
      </c>
      <c r="R26" s="1" t="s">
        <v>16</v>
      </c>
      <c r="S26" s="1" t="s">
        <v>16</v>
      </c>
      <c r="T26" s="1" t="s">
        <v>16</v>
      </c>
      <c r="U26" s="1" t="s">
        <v>16</v>
      </c>
      <c r="V26" s="4">
        <v>2625</v>
      </c>
      <c r="W26" s="2" t="s">
        <v>15</v>
      </c>
    </row>
    <row r="27" spans="1:23" ht="17" x14ac:dyDescent="0.2">
      <c r="A27" s="2" t="s">
        <v>15</v>
      </c>
      <c r="B27" s="1" t="s">
        <v>16</v>
      </c>
      <c r="C27" s="1" t="s">
        <v>16</v>
      </c>
      <c r="D27" s="1" t="s">
        <v>16</v>
      </c>
      <c r="E27" s="1" t="s">
        <v>16</v>
      </c>
      <c r="F27" s="1" t="s">
        <v>16</v>
      </c>
      <c r="G27" s="3" t="s">
        <v>16</v>
      </c>
      <c r="H27" s="4">
        <v>1725</v>
      </c>
      <c r="I27" s="5">
        <v>2634.65</v>
      </c>
      <c r="J27" s="5">
        <v>2710.9</v>
      </c>
      <c r="K27" s="4">
        <v>1725</v>
      </c>
      <c r="L27" s="2">
        <v>11000</v>
      </c>
      <c r="M27" s="4">
        <v>7125</v>
      </c>
      <c r="N27" s="1">
        <v>0.15</v>
      </c>
      <c r="O27" s="1">
        <v>0.2</v>
      </c>
      <c r="P27" s="4">
        <v>35925</v>
      </c>
      <c r="Q27" s="7">
        <v>-0.45</v>
      </c>
      <c r="R27" s="2">
        <v>0.2</v>
      </c>
      <c r="S27" s="1" t="s">
        <v>16</v>
      </c>
      <c r="T27" s="4">
        <v>1441</v>
      </c>
      <c r="U27" s="1">
        <v>750</v>
      </c>
      <c r="V27" s="4">
        <v>114825</v>
      </c>
      <c r="W27" s="2" t="s">
        <v>15</v>
      </c>
    </row>
    <row r="28" spans="1:23" ht="17" x14ac:dyDescent="0.2">
      <c r="A28" s="2" t="s">
        <v>15</v>
      </c>
      <c r="B28" s="1" t="s">
        <v>16</v>
      </c>
      <c r="C28" s="1" t="s">
        <v>16</v>
      </c>
      <c r="D28" s="1" t="s">
        <v>16</v>
      </c>
      <c r="E28" s="1" t="s">
        <v>16</v>
      </c>
      <c r="F28" s="1" t="s">
        <v>16</v>
      </c>
      <c r="G28" s="3" t="s">
        <v>16</v>
      </c>
      <c r="H28" s="4">
        <v>1725</v>
      </c>
      <c r="I28" s="5">
        <v>2554.65</v>
      </c>
      <c r="J28" s="5">
        <v>2711.45</v>
      </c>
      <c r="K28" s="4">
        <v>1725</v>
      </c>
      <c r="L28" s="2">
        <v>11050</v>
      </c>
      <c r="M28" s="1" t="s">
        <v>16</v>
      </c>
      <c r="N28" s="1" t="s">
        <v>16</v>
      </c>
      <c r="O28" s="1">
        <v>0.2</v>
      </c>
      <c r="P28" s="1">
        <v>75</v>
      </c>
      <c r="Q28" s="3" t="s">
        <v>16</v>
      </c>
      <c r="R28" s="1" t="s">
        <v>16</v>
      </c>
      <c r="S28" s="1" t="s">
        <v>16</v>
      </c>
      <c r="T28" s="1" t="s">
        <v>16</v>
      </c>
      <c r="U28" s="1" t="s">
        <v>16</v>
      </c>
      <c r="V28" s="4">
        <v>6225</v>
      </c>
      <c r="W28" s="2" t="s">
        <v>15</v>
      </c>
    </row>
    <row r="29" spans="1:23" ht="17" x14ac:dyDescent="0.2">
      <c r="A29" s="2" t="s">
        <v>15</v>
      </c>
      <c r="B29" s="1" t="s">
        <v>16</v>
      </c>
      <c r="C29" s="1" t="s">
        <v>16</v>
      </c>
      <c r="D29" s="1" t="s">
        <v>16</v>
      </c>
      <c r="E29" s="1" t="s">
        <v>16</v>
      </c>
      <c r="F29" s="1" t="s">
        <v>16</v>
      </c>
      <c r="G29" s="3" t="s">
        <v>16</v>
      </c>
      <c r="H29" s="4">
        <v>1725</v>
      </c>
      <c r="I29" s="5">
        <v>2410.0500000000002</v>
      </c>
      <c r="J29" s="5">
        <v>2698.5</v>
      </c>
      <c r="K29" s="4">
        <v>1725</v>
      </c>
      <c r="L29" s="2">
        <v>11100</v>
      </c>
      <c r="M29" s="1">
        <v>675</v>
      </c>
      <c r="N29" s="1">
        <v>0.15</v>
      </c>
      <c r="O29" s="1">
        <v>0.2</v>
      </c>
      <c r="P29" s="1">
        <v>675</v>
      </c>
      <c r="Q29" s="7">
        <v>-0.55000000000000004</v>
      </c>
      <c r="R29" s="2">
        <v>0.2</v>
      </c>
      <c r="S29" s="1" t="s">
        <v>16</v>
      </c>
      <c r="T29" s="1">
        <v>56</v>
      </c>
      <c r="U29" s="1">
        <v>-375</v>
      </c>
      <c r="V29" s="4">
        <v>10875</v>
      </c>
      <c r="W29" s="2" t="s">
        <v>15</v>
      </c>
    </row>
    <row r="30" spans="1:23" ht="17" x14ac:dyDescent="0.2">
      <c r="A30" s="2" t="s">
        <v>15</v>
      </c>
      <c r="B30" s="1" t="s">
        <v>16</v>
      </c>
      <c r="C30" s="1" t="s">
        <v>16</v>
      </c>
      <c r="D30" s="1" t="s">
        <v>16</v>
      </c>
      <c r="E30" s="1" t="s">
        <v>16</v>
      </c>
      <c r="F30" s="1" t="s">
        <v>16</v>
      </c>
      <c r="G30" s="3" t="s">
        <v>16</v>
      </c>
      <c r="H30" s="4">
        <v>1725</v>
      </c>
      <c r="I30" s="5">
        <v>2360.9</v>
      </c>
      <c r="J30" s="5">
        <v>2647.9</v>
      </c>
      <c r="K30" s="4">
        <v>1725</v>
      </c>
      <c r="L30" s="2">
        <v>11150</v>
      </c>
      <c r="M30" s="4">
        <v>2400</v>
      </c>
      <c r="N30" s="1">
        <v>0.05</v>
      </c>
      <c r="O30" s="1">
        <v>0.3</v>
      </c>
      <c r="P30" s="1">
        <v>75</v>
      </c>
      <c r="Q30" s="3" t="s">
        <v>16</v>
      </c>
      <c r="R30" s="1" t="s">
        <v>16</v>
      </c>
      <c r="S30" s="1" t="s">
        <v>16</v>
      </c>
      <c r="T30" s="1" t="s">
        <v>16</v>
      </c>
      <c r="U30" s="1" t="s">
        <v>16</v>
      </c>
      <c r="V30" s="1">
        <v>825</v>
      </c>
      <c r="W30" s="2" t="s">
        <v>15</v>
      </c>
    </row>
    <row r="31" spans="1:23" ht="17" x14ac:dyDescent="0.2">
      <c r="A31" s="2" t="s">
        <v>15</v>
      </c>
      <c r="B31" s="1">
        <v>75</v>
      </c>
      <c r="C31" s="1" t="s">
        <v>16</v>
      </c>
      <c r="D31" s="1" t="s">
        <v>16</v>
      </c>
      <c r="E31" s="1" t="s">
        <v>16</v>
      </c>
      <c r="F31" s="1" t="s">
        <v>16</v>
      </c>
      <c r="G31" s="3" t="s">
        <v>16</v>
      </c>
      <c r="H31" s="4">
        <v>1725</v>
      </c>
      <c r="I31" s="5">
        <v>2332.75</v>
      </c>
      <c r="J31" s="5">
        <v>2593.6</v>
      </c>
      <c r="K31" s="4">
        <v>1725</v>
      </c>
      <c r="L31" s="2">
        <v>11200</v>
      </c>
      <c r="M31" s="1">
        <v>600</v>
      </c>
      <c r="N31" s="1">
        <v>0.15</v>
      </c>
      <c r="O31" s="1">
        <v>0.25</v>
      </c>
      <c r="P31" s="4">
        <v>2100</v>
      </c>
      <c r="Q31" s="7">
        <v>-0.55000000000000004</v>
      </c>
      <c r="R31" s="2">
        <v>0.3</v>
      </c>
      <c r="S31" s="1" t="s">
        <v>16</v>
      </c>
      <c r="T31" s="1">
        <v>641</v>
      </c>
      <c r="U31" s="4">
        <v>-8025</v>
      </c>
      <c r="V31" s="4">
        <v>27375</v>
      </c>
      <c r="W31" s="2" t="s">
        <v>15</v>
      </c>
    </row>
    <row r="32" spans="1:23" ht="17" x14ac:dyDescent="0.2">
      <c r="A32" s="2" t="s">
        <v>15</v>
      </c>
      <c r="B32" s="1" t="s">
        <v>16</v>
      </c>
      <c r="C32" s="1" t="s">
        <v>16</v>
      </c>
      <c r="D32" s="1" t="s">
        <v>16</v>
      </c>
      <c r="E32" s="1" t="s">
        <v>16</v>
      </c>
      <c r="F32" s="1" t="s">
        <v>16</v>
      </c>
      <c r="G32" s="3" t="s">
        <v>16</v>
      </c>
      <c r="H32" s="4">
        <v>1725</v>
      </c>
      <c r="I32" s="5">
        <v>2288.4</v>
      </c>
      <c r="J32" s="5">
        <v>2541.5</v>
      </c>
      <c r="K32" s="4">
        <v>1725</v>
      </c>
      <c r="L32" s="2">
        <v>11250</v>
      </c>
      <c r="M32" s="1">
        <v>75</v>
      </c>
      <c r="N32" s="1">
        <v>0.05</v>
      </c>
      <c r="O32" s="1">
        <v>0.25</v>
      </c>
      <c r="P32" s="1">
        <v>900</v>
      </c>
      <c r="Q32" s="3" t="s">
        <v>16</v>
      </c>
      <c r="R32" s="1" t="s">
        <v>16</v>
      </c>
      <c r="S32" s="1" t="s">
        <v>16</v>
      </c>
      <c r="T32" s="1" t="s">
        <v>16</v>
      </c>
      <c r="U32" s="1" t="s">
        <v>16</v>
      </c>
      <c r="V32" s="1">
        <v>900</v>
      </c>
      <c r="W32" s="2" t="s">
        <v>15</v>
      </c>
    </row>
    <row r="33" spans="1:23" ht="17" x14ac:dyDescent="0.2">
      <c r="A33" s="2" t="s">
        <v>15</v>
      </c>
      <c r="B33" s="1" t="s">
        <v>16</v>
      </c>
      <c r="C33" s="1" t="s">
        <v>16</v>
      </c>
      <c r="D33" s="1" t="s">
        <v>16</v>
      </c>
      <c r="E33" s="1" t="s">
        <v>16</v>
      </c>
      <c r="F33" s="1" t="s">
        <v>16</v>
      </c>
      <c r="G33" s="3" t="s">
        <v>16</v>
      </c>
      <c r="H33" s="4">
        <v>1725</v>
      </c>
      <c r="I33" s="5">
        <v>2240.4</v>
      </c>
      <c r="J33" s="5">
        <v>2490.3000000000002</v>
      </c>
      <c r="K33" s="4">
        <v>1725</v>
      </c>
      <c r="L33" s="2">
        <v>11300</v>
      </c>
      <c r="M33" s="4">
        <v>6600</v>
      </c>
      <c r="N33" s="1">
        <v>0.15</v>
      </c>
      <c r="O33" s="1">
        <v>0.25</v>
      </c>
      <c r="P33" s="4">
        <v>1575</v>
      </c>
      <c r="Q33" s="7">
        <v>-0.65</v>
      </c>
      <c r="R33" s="2">
        <v>0.25</v>
      </c>
      <c r="S33" s="1" t="s">
        <v>16</v>
      </c>
      <c r="T33" s="1">
        <v>860</v>
      </c>
      <c r="U33" s="4">
        <v>2025</v>
      </c>
      <c r="V33" s="4">
        <v>21975</v>
      </c>
      <c r="W33" s="2" t="s">
        <v>15</v>
      </c>
    </row>
    <row r="34" spans="1:23" ht="17" x14ac:dyDescent="0.2">
      <c r="A34" s="2" t="s">
        <v>15</v>
      </c>
      <c r="B34" s="1" t="s">
        <v>16</v>
      </c>
      <c r="C34" s="1" t="s">
        <v>16</v>
      </c>
      <c r="D34" s="1" t="s">
        <v>16</v>
      </c>
      <c r="E34" s="1" t="s">
        <v>16</v>
      </c>
      <c r="F34" s="1" t="s">
        <v>16</v>
      </c>
      <c r="G34" s="3" t="s">
        <v>16</v>
      </c>
      <c r="H34" s="4">
        <v>1725</v>
      </c>
      <c r="I34" s="5">
        <v>2258.0500000000002</v>
      </c>
      <c r="J34" s="5">
        <v>2392.1999999999998</v>
      </c>
      <c r="K34" s="4">
        <v>1725</v>
      </c>
      <c r="L34" s="2">
        <v>11350</v>
      </c>
      <c r="M34" s="1">
        <v>525</v>
      </c>
      <c r="N34" s="1">
        <v>0.2</v>
      </c>
      <c r="O34" s="1">
        <v>0.3</v>
      </c>
      <c r="P34" s="4">
        <v>3525</v>
      </c>
      <c r="Q34" s="7">
        <v>-0.9</v>
      </c>
      <c r="R34" s="2">
        <v>0.2</v>
      </c>
      <c r="S34" s="1" t="s">
        <v>16</v>
      </c>
      <c r="T34" s="1">
        <v>186</v>
      </c>
      <c r="U34" s="4">
        <v>4875</v>
      </c>
      <c r="V34" s="4">
        <v>7875</v>
      </c>
      <c r="W34" s="2" t="s">
        <v>15</v>
      </c>
    </row>
    <row r="35" spans="1:23" ht="17" x14ac:dyDescent="0.2">
      <c r="A35" s="2" t="s">
        <v>15</v>
      </c>
      <c r="B35" s="1" t="s">
        <v>16</v>
      </c>
      <c r="C35" s="1" t="s">
        <v>16</v>
      </c>
      <c r="D35" s="1" t="s">
        <v>16</v>
      </c>
      <c r="E35" s="1" t="s">
        <v>16</v>
      </c>
      <c r="F35" s="1" t="s">
        <v>16</v>
      </c>
      <c r="G35" s="3" t="s">
        <v>16</v>
      </c>
      <c r="H35" s="4">
        <v>1725</v>
      </c>
      <c r="I35" s="5">
        <v>2146.65</v>
      </c>
      <c r="J35" s="5">
        <v>2387.1999999999998</v>
      </c>
      <c r="K35" s="4">
        <v>1725</v>
      </c>
      <c r="L35" s="2">
        <v>11400</v>
      </c>
      <c r="M35" s="1">
        <v>525</v>
      </c>
      <c r="N35" s="1">
        <v>0.15</v>
      </c>
      <c r="O35" s="1">
        <v>0.2</v>
      </c>
      <c r="P35" s="4">
        <v>1200</v>
      </c>
      <c r="Q35" s="7">
        <v>-0.65</v>
      </c>
      <c r="R35" s="2">
        <v>0.2</v>
      </c>
      <c r="S35" s="1" t="s">
        <v>16</v>
      </c>
      <c r="T35" s="1">
        <v>231</v>
      </c>
      <c r="U35" s="4">
        <v>-2625</v>
      </c>
      <c r="V35" s="4">
        <v>9675</v>
      </c>
      <c r="W35" s="2" t="s">
        <v>15</v>
      </c>
    </row>
    <row r="36" spans="1:23" ht="17" x14ac:dyDescent="0.2">
      <c r="A36" s="2" t="s">
        <v>15</v>
      </c>
      <c r="B36" s="1" t="s">
        <v>16</v>
      </c>
      <c r="C36" s="1" t="s">
        <v>16</v>
      </c>
      <c r="D36" s="1" t="s">
        <v>16</v>
      </c>
      <c r="E36" s="1" t="s">
        <v>16</v>
      </c>
      <c r="F36" s="1" t="s">
        <v>16</v>
      </c>
      <c r="G36" s="3" t="s">
        <v>16</v>
      </c>
      <c r="H36" s="4">
        <v>1725</v>
      </c>
      <c r="I36" s="5">
        <v>2160.8000000000002</v>
      </c>
      <c r="J36" s="5">
        <v>2293</v>
      </c>
      <c r="K36" s="4">
        <v>1725</v>
      </c>
      <c r="L36" s="2">
        <v>11450</v>
      </c>
      <c r="M36" s="1">
        <v>300</v>
      </c>
      <c r="N36" s="1">
        <v>0.1</v>
      </c>
      <c r="O36" s="1">
        <v>0.3</v>
      </c>
      <c r="P36" s="1">
        <v>300</v>
      </c>
      <c r="Q36" s="7">
        <v>-0.25</v>
      </c>
      <c r="R36" s="2">
        <v>0.15</v>
      </c>
      <c r="S36" s="1" t="s">
        <v>16</v>
      </c>
      <c r="T36" s="1">
        <v>11</v>
      </c>
      <c r="U36" s="1">
        <v>75</v>
      </c>
      <c r="V36" s="4">
        <v>3600</v>
      </c>
      <c r="W36" s="2" t="s">
        <v>15</v>
      </c>
    </row>
    <row r="37" spans="1:23" ht="17" x14ac:dyDescent="0.2">
      <c r="A37" s="2" t="s">
        <v>15</v>
      </c>
      <c r="B37" s="1">
        <v>675</v>
      </c>
      <c r="C37" s="1">
        <v>-75</v>
      </c>
      <c r="D37" s="1">
        <v>5</v>
      </c>
      <c r="E37" s="1" t="s">
        <v>16</v>
      </c>
      <c r="F37" s="8">
        <v>2181</v>
      </c>
      <c r="G37" s="6">
        <v>448.5</v>
      </c>
      <c r="H37" s="1">
        <v>300</v>
      </c>
      <c r="I37" s="5">
        <v>2172.1999999999998</v>
      </c>
      <c r="J37" s="5">
        <v>2189.9</v>
      </c>
      <c r="K37" s="1">
        <v>300</v>
      </c>
      <c r="L37" s="2">
        <v>11500</v>
      </c>
      <c r="M37" s="4">
        <v>25725</v>
      </c>
      <c r="N37" s="1">
        <v>0.15</v>
      </c>
      <c r="O37" s="1">
        <v>0.2</v>
      </c>
      <c r="P37" s="1">
        <v>525</v>
      </c>
      <c r="Q37" s="7">
        <v>-0.5</v>
      </c>
      <c r="R37" s="2">
        <v>0.2</v>
      </c>
      <c r="S37" s="1" t="s">
        <v>16</v>
      </c>
      <c r="T37" s="4">
        <v>1277</v>
      </c>
      <c r="U37" s="4">
        <v>-7800</v>
      </c>
      <c r="V37" s="4">
        <v>130650</v>
      </c>
      <c r="W37" s="2" t="s">
        <v>15</v>
      </c>
    </row>
    <row r="38" spans="1:23" ht="17" x14ac:dyDescent="0.2">
      <c r="A38" s="2" t="s">
        <v>15</v>
      </c>
      <c r="B38" s="1" t="s">
        <v>16</v>
      </c>
      <c r="C38" s="1" t="s">
        <v>16</v>
      </c>
      <c r="D38" s="1" t="s">
        <v>16</v>
      </c>
      <c r="E38" s="1" t="s">
        <v>16</v>
      </c>
      <c r="F38" s="1" t="s">
        <v>16</v>
      </c>
      <c r="G38" s="3" t="s">
        <v>16</v>
      </c>
      <c r="H38" s="4">
        <v>1725</v>
      </c>
      <c r="I38" s="5">
        <v>2061</v>
      </c>
      <c r="J38" s="5">
        <v>2200.5500000000002</v>
      </c>
      <c r="K38" s="4">
        <v>1725</v>
      </c>
      <c r="L38" s="2">
        <v>11550</v>
      </c>
      <c r="M38" s="1">
        <v>675</v>
      </c>
      <c r="N38" s="1">
        <v>0.1</v>
      </c>
      <c r="O38" s="1">
        <v>0.35</v>
      </c>
      <c r="P38" s="1">
        <v>300</v>
      </c>
      <c r="Q38" s="7">
        <v>-0.7</v>
      </c>
      <c r="R38" s="2">
        <v>0.3</v>
      </c>
      <c r="S38" s="1" t="s">
        <v>16</v>
      </c>
      <c r="T38" s="1">
        <v>8</v>
      </c>
      <c r="U38" s="1" t="s">
        <v>16</v>
      </c>
      <c r="V38" s="4">
        <v>3900</v>
      </c>
      <c r="W38" s="2" t="s">
        <v>15</v>
      </c>
    </row>
    <row r="39" spans="1:23" ht="17" x14ac:dyDescent="0.2">
      <c r="A39" s="2" t="s">
        <v>15</v>
      </c>
      <c r="B39" s="1">
        <v>75</v>
      </c>
      <c r="C39" s="1" t="s">
        <v>16</v>
      </c>
      <c r="D39" s="1" t="s">
        <v>16</v>
      </c>
      <c r="E39" s="1" t="s">
        <v>16</v>
      </c>
      <c r="F39" s="1" t="s">
        <v>16</v>
      </c>
      <c r="G39" s="3" t="s">
        <v>16</v>
      </c>
      <c r="H39" s="4">
        <v>1725</v>
      </c>
      <c r="I39" s="5">
        <v>2039.7</v>
      </c>
      <c r="J39" s="5">
        <v>2132.1</v>
      </c>
      <c r="K39" s="4">
        <v>1725</v>
      </c>
      <c r="L39" s="2">
        <v>11600</v>
      </c>
      <c r="M39" s="4">
        <v>3675</v>
      </c>
      <c r="N39" s="1">
        <v>0.15</v>
      </c>
      <c r="O39" s="1">
        <v>0.25</v>
      </c>
      <c r="P39" s="4">
        <v>1500</v>
      </c>
      <c r="Q39" s="7">
        <v>-0.75</v>
      </c>
      <c r="R39" s="2">
        <v>0.15</v>
      </c>
      <c r="S39" s="1" t="s">
        <v>16</v>
      </c>
      <c r="T39" s="4">
        <v>1000</v>
      </c>
      <c r="U39" s="4">
        <v>-4575</v>
      </c>
      <c r="V39" s="4">
        <v>21300</v>
      </c>
      <c r="W39" s="2" t="s">
        <v>15</v>
      </c>
    </row>
    <row r="40" spans="1:23" ht="17" x14ac:dyDescent="0.2">
      <c r="A40" s="2" t="s">
        <v>15</v>
      </c>
      <c r="B40" s="1" t="s">
        <v>16</v>
      </c>
      <c r="C40" s="1" t="s">
        <v>16</v>
      </c>
      <c r="D40" s="1" t="s">
        <v>16</v>
      </c>
      <c r="E40" s="1" t="s">
        <v>16</v>
      </c>
      <c r="F40" s="1" t="s">
        <v>16</v>
      </c>
      <c r="G40" s="3" t="s">
        <v>16</v>
      </c>
      <c r="H40" s="4">
        <v>1725</v>
      </c>
      <c r="I40" s="5">
        <v>1906.65</v>
      </c>
      <c r="J40" s="5">
        <v>2123.5500000000002</v>
      </c>
      <c r="K40" s="4">
        <v>1725</v>
      </c>
      <c r="L40" s="2">
        <v>11650</v>
      </c>
      <c r="M40" s="1">
        <v>750</v>
      </c>
      <c r="N40" s="1">
        <v>0.1</v>
      </c>
      <c r="O40" s="1">
        <v>0.5</v>
      </c>
      <c r="P40" s="1">
        <v>75</v>
      </c>
      <c r="Q40" s="7">
        <v>-466.75</v>
      </c>
      <c r="R40" s="2">
        <v>0.1</v>
      </c>
      <c r="S40" s="1" t="s">
        <v>16</v>
      </c>
      <c r="T40" s="1">
        <v>305</v>
      </c>
      <c r="U40" s="4">
        <v>7500</v>
      </c>
      <c r="V40" s="4">
        <v>7500</v>
      </c>
      <c r="W40" s="2" t="s">
        <v>15</v>
      </c>
    </row>
    <row r="41" spans="1:23" ht="17" x14ac:dyDescent="0.2">
      <c r="A41" s="2" t="s">
        <v>15</v>
      </c>
      <c r="B41" s="1" t="s">
        <v>16</v>
      </c>
      <c r="C41" s="1" t="s">
        <v>16</v>
      </c>
      <c r="D41" s="1" t="s">
        <v>16</v>
      </c>
      <c r="E41" s="1" t="s">
        <v>16</v>
      </c>
      <c r="F41" s="1" t="s">
        <v>16</v>
      </c>
      <c r="G41" s="3" t="s">
        <v>16</v>
      </c>
      <c r="H41" s="4">
        <v>1725</v>
      </c>
      <c r="I41" s="5">
        <v>1939.7</v>
      </c>
      <c r="J41" s="5">
        <v>2032.95</v>
      </c>
      <c r="K41" s="4">
        <v>1725</v>
      </c>
      <c r="L41" s="2">
        <v>11700</v>
      </c>
      <c r="M41" s="1">
        <v>75</v>
      </c>
      <c r="N41" s="1">
        <v>0.15</v>
      </c>
      <c r="O41" s="1">
        <v>0.2</v>
      </c>
      <c r="P41" s="4">
        <v>1500</v>
      </c>
      <c r="Q41" s="7">
        <v>-0.75</v>
      </c>
      <c r="R41" s="2">
        <v>0.15</v>
      </c>
      <c r="S41" s="1" t="s">
        <v>16</v>
      </c>
      <c r="T41" s="4">
        <v>1383</v>
      </c>
      <c r="U41" s="4">
        <v>-11775</v>
      </c>
      <c r="V41" s="4">
        <v>22500</v>
      </c>
      <c r="W41" s="2" t="s">
        <v>15</v>
      </c>
    </row>
    <row r="42" spans="1:23" ht="17" x14ac:dyDescent="0.2">
      <c r="A42" s="2" t="s">
        <v>15</v>
      </c>
      <c r="B42" s="1">
        <v>75</v>
      </c>
      <c r="C42" s="1" t="s">
        <v>16</v>
      </c>
      <c r="D42" s="1" t="s">
        <v>16</v>
      </c>
      <c r="E42" s="1" t="s">
        <v>16</v>
      </c>
      <c r="F42" s="1" t="s">
        <v>16</v>
      </c>
      <c r="G42" s="3" t="s">
        <v>16</v>
      </c>
      <c r="H42" s="4">
        <v>1725</v>
      </c>
      <c r="I42" s="5">
        <v>1881.25</v>
      </c>
      <c r="J42" s="5">
        <v>1986.15</v>
      </c>
      <c r="K42" s="4">
        <v>1725</v>
      </c>
      <c r="L42" s="2">
        <v>11750</v>
      </c>
      <c r="M42" s="1">
        <v>225</v>
      </c>
      <c r="N42" s="1">
        <v>0.05</v>
      </c>
      <c r="O42" s="1">
        <v>0.1</v>
      </c>
      <c r="P42" s="1">
        <v>75</v>
      </c>
      <c r="Q42" s="7">
        <v>-512.04999999999995</v>
      </c>
      <c r="R42" s="2">
        <v>0.1</v>
      </c>
      <c r="S42" s="1" t="s">
        <v>16</v>
      </c>
      <c r="T42" s="1">
        <v>66</v>
      </c>
      <c r="U42" s="4">
        <v>1275</v>
      </c>
      <c r="V42" s="4">
        <v>1275</v>
      </c>
      <c r="W42" s="2" t="s">
        <v>15</v>
      </c>
    </row>
    <row r="43" spans="1:23" ht="17" x14ac:dyDescent="0.2">
      <c r="A43" s="2" t="s">
        <v>15</v>
      </c>
      <c r="B43" s="1">
        <v>225</v>
      </c>
      <c r="C43" s="1" t="s">
        <v>16</v>
      </c>
      <c r="D43" s="1" t="s">
        <v>16</v>
      </c>
      <c r="E43" s="1" t="s">
        <v>16</v>
      </c>
      <c r="F43" s="1" t="s">
        <v>16</v>
      </c>
      <c r="G43" s="3" t="s">
        <v>16</v>
      </c>
      <c r="H43" s="4">
        <v>1725</v>
      </c>
      <c r="I43" s="5">
        <v>1842.8</v>
      </c>
      <c r="J43" s="5">
        <v>1910.6</v>
      </c>
      <c r="K43" s="4">
        <v>1725</v>
      </c>
      <c r="L43" s="2">
        <v>11800</v>
      </c>
      <c r="M43" s="4">
        <v>6225</v>
      </c>
      <c r="N43" s="1">
        <v>0.15</v>
      </c>
      <c r="O43" s="1">
        <v>0.25</v>
      </c>
      <c r="P43" s="4">
        <v>10875</v>
      </c>
      <c r="Q43" s="7">
        <v>-0.75</v>
      </c>
      <c r="R43" s="2">
        <v>0.2</v>
      </c>
      <c r="S43" s="1" t="s">
        <v>16</v>
      </c>
      <c r="T43" s="4">
        <v>1581</v>
      </c>
      <c r="U43" s="4">
        <v>13725</v>
      </c>
      <c r="V43" s="4">
        <v>63375</v>
      </c>
      <c r="W43" s="2" t="s">
        <v>15</v>
      </c>
    </row>
    <row r="44" spans="1:23" ht="17" x14ac:dyDescent="0.2">
      <c r="A44" s="2" t="s">
        <v>15</v>
      </c>
      <c r="B44" s="1" t="s">
        <v>16</v>
      </c>
      <c r="C44" s="1" t="s">
        <v>16</v>
      </c>
      <c r="D44" s="1" t="s">
        <v>16</v>
      </c>
      <c r="E44" s="1" t="s">
        <v>16</v>
      </c>
      <c r="F44" s="1" t="s">
        <v>16</v>
      </c>
      <c r="G44" s="3" t="s">
        <v>16</v>
      </c>
      <c r="H44" s="4">
        <v>1725</v>
      </c>
      <c r="I44" s="5">
        <v>1719.4</v>
      </c>
      <c r="J44" s="5">
        <v>1916.95</v>
      </c>
      <c r="K44" s="4">
        <v>1725</v>
      </c>
      <c r="L44" s="2">
        <v>11850</v>
      </c>
      <c r="M44" s="1" t="s">
        <v>16</v>
      </c>
      <c r="N44" s="1" t="s">
        <v>16</v>
      </c>
      <c r="O44" s="1">
        <v>0.5</v>
      </c>
      <c r="P44" s="1">
        <v>75</v>
      </c>
      <c r="Q44" s="7">
        <v>-559.9</v>
      </c>
      <c r="R44" s="2">
        <v>0.1</v>
      </c>
      <c r="S44" s="1" t="s">
        <v>16</v>
      </c>
      <c r="T44" s="1">
        <v>540</v>
      </c>
      <c r="U44" s="4">
        <v>6225</v>
      </c>
      <c r="V44" s="4">
        <v>6225</v>
      </c>
      <c r="W44" s="2" t="s">
        <v>15</v>
      </c>
    </row>
    <row r="45" spans="1:23" ht="17" x14ac:dyDescent="0.2">
      <c r="A45" s="2" t="s">
        <v>15</v>
      </c>
      <c r="B45" s="1">
        <v>150</v>
      </c>
      <c r="C45" s="1" t="s">
        <v>16</v>
      </c>
      <c r="D45" s="1" t="s">
        <v>16</v>
      </c>
      <c r="E45" s="1" t="s">
        <v>16</v>
      </c>
      <c r="F45" s="1" t="s">
        <v>16</v>
      </c>
      <c r="G45" s="3" t="s">
        <v>16</v>
      </c>
      <c r="H45" s="4">
        <v>1725</v>
      </c>
      <c r="I45" s="5">
        <v>1744.7</v>
      </c>
      <c r="J45" s="5">
        <v>1800.7</v>
      </c>
      <c r="K45" s="1">
        <v>300</v>
      </c>
      <c r="L45" s="2">
        <v>11900</v>
      </c>
      <c r="M45" s="1">
        <v>75</v>
      </c>
      <c r="N45" s="1">
        <v>0.15</v>
      </c>
      <c r="O45" s="1">
        <v>0.2</v>
      </c>
      <c r="P45" s="1">
        <v>75</v>
      </c>
      <c r="Q45" s="7">
        <v>-0.8</v>
      </c>
      <c r="R45" s="2">
        <v>0.15</v>
      </c>
      <c r="S45" s="1" t="s">
        <v>16</v>
      </c>
      <c r="T45" s="1">
        <v>170</v>
      </c>
      <c r="U45" s="4">
        <v>-1050</v>
      </c>
      <c r="V45" s="4">
        <v>18900</v>
      </c>
      <c r="W45" s="2" t="s">
        <v>15</v>
      </c>
    </row>
    <row r="46" spans="1:23" ht="17" x14ac:dyDescent="0.2">
      <c r="A46" s="2" t="s">
        <v>15</v>
      </c>
      <c r="B46" s="1" t="s">
        <v>16</v>
      </c>
      <c r="C46" s="1" t="s">
        <v>16</v>
      </c>
      <c r="D46" s="1" t="s">
        <v>16</v>
      </c>
      <c r="E46" s="1" t="s">
        <v>16</v>
      </c>
      <c r="F46" s="1" t="s">
        <v>16</v>
      </c>
      <c r="G46" s="3" t="s">
        <v>16</v>
      </c>
      <c r="H46" s="4">
        <v>1725</v>
      </c>
      <c r="I46" s="5">
        <v>1625.1</v>
      </c>
      <c r="J46" s="5">
        <v>1810.15</v>
      </c>
      <c r="K46" s="4">
        <v>1725</v>
      </c>
      <c r="L46" s="2">
        <v>11950</v>
      </c>
      <c r="M46" s="1" t="s">
        <v>16</v>
      </c>
      <c r="N46" s="1" t="s">
        <v>16</v>
      </c>
      <c r="O46" s="1">
        <v>0.2</v>
      </c>
      <c r="P46" s="1">
        <v>75</v>
      </c>
      <c r="Q46" s="3" t="s">
        <v>16</v>
      </c>
      <c r="R46" s="1" t="s">
        <v>16</v>
      </c>
      <c r="S46" s="1" t="s">
        <v>16</v>
      </c>
      <c r="T46" s="1" t="s">
        <v>16</v>
      </c>
      <c r="U46" s="1" t="s">
        <v>16</v>
      </c>
      <c r="V46" s="1" t="s">
        <v>16</v>
      </c>
      <c r="W46" s="2" t="s">
        <v>15</v>
      </c>
    </row>
    <row r="47" spans="1:23" ht="17" x14ac:dyDescent="0.2">
      <c r="A47" s="2" t="s">
        <v>15</v>
      </c>
      <c r="B47" s="4">
        <v>3150</v>
      </c>
      <c r="C47" s="4">
        <v>-1350</v>
      </c>
      <c r="D47" s="1">
        <v>37</v>
      </c>
      <c r="E47" s="1" t="s">
        <v>16</v>
      </c>
      <c r="F47" s="8">
        <v>1685</v>
      </c>
      <c r="G47" s="6">
        <v>122.9</v>
      </c>
      <c r="H47" s="1">
        <v>75</v>
      </c>
      <c r="I47" s="5">
        <v>1660.55</v>
      </c>
      <c r="J47" s="5">
        <v>1687.55</v>
      </c>
      <c r="K47" s="1">
        <v>300</v>
      </c>
      <c r="L47" s="2">
        <v>12000</v>
      </c>
      <c r="M47" s="4">
        <v>336600</v>
      </c>
      <c r="N47" s="1">
        <v>0.15</v>
      </c>
      <c r="O47" s="1">
        <v>0.2</v>
      </c>
      <c r="P47" s="4">
        <v>66450</v>
      </c>
      <c r="Q47" s="7">
        <v>-0.7</v>
      </c>
      <c r="R47" s="2">
        <v>0.2</v>
      </c>
      <c r="S47" s="1" t="s">
        <v>16</v>
      </c>
      <c r="T47" s="4">
        <v>11928</v>
      </c>
      <c r="U47" s="4">
        <v>-37500</v>
      </c>
      <c r="V47" s="4">
        <v>806325</v>
      </c>
      <c r="W47" s="2" t="s">
        <v>15</v>
      </c>
    </row>
    <row r="48" spans="1:23" ht="17" x14ac:dyDescent="0.2">
      <c r="A48" s="2" t="s">
        <v>15</v>
      </c>
      <c r="B48" s="1" t="s">
        <v>16</v>
      </c>
      <c r="C48" s="1" t="s">
        <v>16</v>
      </c>
      <c r="D48" s="1" t="s">
        <v>16</v>
      </c>
      <c r="E48" s="1" t="s">
        <v>16</v>
      </c>
      <c r="F48" s="1" t="s">
        <v>16</v>
      </c>
      <c r="G48" s="3" t="s">
        <v>16</v>
      </c>
      <c r="H48" s="4">
        <v>1725</v>
      </c>
      <c r="I48" s="5">
        <v>1531.4</v>
      </c>
      <c r="J48" s="5">
        <v>1703.95</v>
      </c>
      <c r="K48" s="4">
        <v>1725</v>
      </c>
      <c r="L48" s="2">
        <v>12050</v>
      </c>
      <c r="M48" s="1" t="s">
        <v>16</v>
      </c>
      <c r="N48" s="1" t="s">
        <v>16</v>
      </c>
      <c r="O48" s="1">
        <v>0.3</v>
      </c>
      <c r="P48" s="4">
        <v>1575</v>
      </c>
      <c r="Q48" s="7">
        <v>-0.7</v>
      </c>
      <c r="R48" s="2">
        <v>0.2</v>
      </c>
      <c r="S48" s="1" t="s">
        <v>16</v>
      </c>
      <c r="T48" s="1">
        <v>2</v>
      </c>
      <c r="U48" s="1">
        <v>-75</v>
      </c>
      <c r="V48" s="4">
        <v>5625</v>
      </c>
      <c r="W48" s="2" t="s">
        <v>15</v>
      </c>
    </row>
    <row r="49" spans="1:23" ht="17" x14ac:dyDescent="0.2">
      <c r="A49" s="2" t="s">
        <v>15</v>
      </c>
      <c r="B49" s="4">
        <v>1050</v>
      </c>
      <c r="C49" s="1" t="s">
        <v>16</v>
      </c>
      <c r="D49" s="1" t="s">
        <v>16</v>
      </c>
      <c r="E49" s="1" t="s">
        <v>16</v>
      </c>
      <c r="F49" s="1" t="s">
        <v>16</v>
      </c>
      <c r="G49" s="3" t="s">
        <v>16</v>
      </c>
      <c r="H49" s="1">
        <v>75</v>
      </c>
      <c r="I49" s="5">
        <v>1549.65</v>
      </c>
      <c r="J49" s="5">
        <v>1587.6</v>
      </c>
      <c r="K49" s="1">
        <v>75</v>
      </c>
      <c r="L49" s="2">
        <v>12100</v>
      </c>
      <c r="M49" s="4">
        <v>1500</v>
      </c>
      <c r="N49" s="1">
        <v>0.2</v>
      </c>
      <c r="O49" s="1">
        <v>0.25</v>
      </c>
      <c r="P49" s="4">
        <v>5250</v>
      </c>
      <c r="Q49" s="7">
        <v>-0.9</v>
      </c>
      <c r="R49" s="2">
        <v>0.2</v>
      </c>
      <c r="S49" s="1" t="s">
        <v>16</v>
      </c>
      <c r="T49" s="4">
        <v>1188</v>
      </c>
      <c r="U49" s="4">
        <v>-14250</v>
      </c>
      <c r="V49" s="4">
        <v>53625</v>
      </c>
      <c r="W49" s="2" t="s">
        <v>15</v>
      </c>
    </row>
    <row r="50" spans="1:23" ht="17" x14ac:dyDescent="0.2">
      <c r="A50" s="2" t="s">
        <v>15</v>
      </c>
      <c r="B50" s="1" t="s">
        <v>16</v>
      </c>
      <c r="C50" s="1" t="s">
        <v>16</v>
      </c>
      <c r="D50" s="1" t="s">
        <v>16</v>
      </c>
      <c r="E50" s="1" t="s">
        <v>16</v>
      </c>
      <c r="F50" s="1" t="s">
        <v>16</v>
      </c>
      <c r="G50" s="3" t="s">
        <v>16</v>
      </c>
      <c r="H50" s="4">
        <v>1725</v>
      </c>
      <c r="I50" s="5">
        <v>1492.75</v>
      </c>
      <c r="J50" s="5">
        <v>1547.15</v>
      </c>
      <c r="K50" s="4">
        <v>4875</v>
      </c>
      <c r="L50" s="2">
        <v>12150</v>
      </c>
      <c r="M50" s="1">
        <v>375</v>
      </c>
      <c r="N50" s="1">
        <v>0.1</v>
      </c>
      <c r="O50" s="1">
        <v>0.2</v>
      </c>
      <c r="P50" s="1">
        <v>75</v>
      </c>
      <c r="Q50" s="7">
        <v>-1</v>
      </c>
      <c r="R50" s="2">
        <v>0.2</v>
      </c>
      <c r="S50" s="1" t="s">
        <v>16</v>
      </c>
      <c r="T50" s="1">
        <v>59</v>
      </c>
      <c r="U50" s="4">
        <v>-1950</v>
      </c>
      <c r="V50" s="4">
        <v>16950</v>
      </c>
      <c r="W50" s="2" t="s">
        <v>15</v>
      </c>
    </row>
    <row r="51" spans="1:23" ht="17" x14ac:dyDescent="0.2">
      <c r="A51" s="2" t="s">
        <v>15</v>
      </c>
      <c r="B51" s="1">
        <v>300</v>
      </c>
      <c r="C51" s="1" t="s">
        <v>16</v>
      </c>
      <c r="D51" s="1">
        <v>1</v>
      </c>
      <c r="E51" s="1" t="s">
        <v>16</v>
      </c>
      <c r="F51" s="8">
        <v>1483.3</v>
      </c>
      <c r="G51" s="6">
        <v>200.2</v>
      </c>
      <c r="H51" s="1">
        <v>75</v>
      </c>
      <c r="I51" s="5">
        <v>1449.95</v>
      </c>
      <c r="J51" s="5">
        <v>1497</v>
      </c>
      <c r="K51" s="1">
        <v>300</v>
      </c>
      <c r="L51" s="2">
        <v>12200</v>
      </c>
      <c r="M51" s="4">
        <v>12750</v>
      </c>
      <c r="N51" s="1">
        <v>0.15</v>
      </c>
      <c r="O51" s="1">
        <v>0.2</v>
      </c>
      <c r="P51" s="4">
        <v>1125</v>
      </c>
      <c r="Q51" s="7">
        <v>-1</v>
      </c>
      <c r="R51" s="2">
        <v>0.15</v>
      </c>
      <c r="S51" s="1" t="s">
        <v>16</v>
      </c>
      <c r="T51" s="4">
        <v>2752</v>
      </c>
      <c r="U51" s="4">
        <v>-47925</v>
      </c>
      <c r="V51" s="4">
        <v>90225</v>
      </c>
      <c r="W51" s="2" t="s">
        <v>15</v>
      </c>
    </row>
    <row r="52" spans="1:23" ht="17" x14ac:dyDescent="0.2">
      <c r="A52" s="2" t="s">
        <v>15</v>
      </c>
      <c r="B52" s="1" t="s">
        <v>16</v>
      </c>
      <c r="C52" s="1" t="s">
        <v>16</v>
      </c>
      <c r="D52" s="1" t="s">
        <v>16</v>
      </c>
      <c r="E52" s="1" t="s">
        <v>16</v>
      </c>
      <c r="F52" s="1" t="s">
        <v>16</v>
      </c>
      <c r="G52" s="3" t="s">
        <v>16</v>
      </c>
      <c r="H52" s="4">
        <v>1725</v>
      </c>
      <c r="I52" s="5">
        <v>1392.65</v>
      </c>
      <c r="J52" s="5">
        <v>1447.15</v>
      </c>
      <c r="K52" s="4">
        <v>4875</v>
      </c>
      <c r="L52" s="2">
        <v>12250</v>
      </c>
      <c r="M52" s="4">
        <v>2025</v>
      </c>
      <c r="N52" s="1">
        <v>0.15</v>
      </c>
      <c r="O52" s="1">
        <v>0.25</v>
      </c>
      <c r="P52" s="1">
        <v>225</v>
      </c>
      <c r="Q52" s="7">
        <v>-1.1000000000000001</v>
      </c>
      <c r="R52" s="2">
        <v>0.15</v>
      </c>
      <c r="S52" s="1" t="s">
        <v>16</v>
      </c>
      <c r="T52" s="1">
        <v>35</v>
      </c>
      <c r="U52" s="1">
        <v>-825</v>
      </c>
      <c r="V52" s="4">
        <v>10650</v>
      </c>
      <c r="W52" s="2" t="s">
        <v>15</v>
      </c>
    </row>
    <row r="53" spans="1:23" ht="17" x14ac:dyDescent="0.2">
      <c r="A53" s="2" t="s">
        <v>15</v>
      </c>
      <c r="B53" s="4">
        <v>2475</v>
      </c>
      <c r="C53" s="1">
        <v>300</v>
      </c>
      <c r="D53" s="1">
        <v>5</v>
      </c>
      <c r="E53" s="1" t="s">
        <v>16</v>
      </c>
      <c r="F53" s="8">
        <v>1353.8</v>
      </c>
      <c r="G53" s="6">
        <v>183.8</v>
      </c>
      <c r="H53" s="1">
        <v>75</v>
      </c>
      <c r="I53" s="5">
        <v>1352.6</v>
      </c>
      <c r="J53" s="5">
        <v>1391.3</v>
      </c>
      <c r="K53" s="1">
        <v>300</v>
      </c>
      <c r="L53" s="2">
        <v>12300</v>
      </c>
      <c r="M53" s="4">
        <v>11775</v>
      </c>
      <c r="N53" s="1">
        <v>0.2</v>
      </c>
      <c r="O53" s="1">
        <v>0.25</v>
      </c>
      <c r="P53" s="4">
        <v>3600</v>
      </c>
      <c r="Q53" s="7">
        <v>-0.95</v>
      </c>
      <c r="R53" s="2">
        <v>0.2</v>
      </c>
      <c r="S53" s="1" t="s">
        <v>16</v>
      </c>
      <c r="T53" s="4">
        <v>2105</v>
      </c>
      <c r="U53" s="4">
        <v>-24375</v>
      </c>
      <c r="V53" s="4">
        <v>129825</v>
      </c>
      <c r="W53" s="2" t="s">
        <v>15</v>
      </c>
    </row>
    <row r="54" spans="1:23" ht="17" x14ac:dyDescent="0.2">
      <c r="A54" s="2" t="s">
        <v>15</v>
      </c>
      <c r="B54" s="1" t="s">
        <v>16</v>
      </c>
      <c r="C54" s="1" t="s">
        <v>16</v>
      </c>
      <c r="D54" s="1" t="s">
        <v>16</v>
      </c>
      <c r="E54" s="1" t="s">
        <v>16</v>
      </c>
      <c r="F54" s="1" t="s">
        <v>16</v>
      </c>
      <c r="G54" s="3" t="s">
        <v>16</v>
      </c>
      <c r="H54" s="4">
        <v>1725</v>
      </c>
      <c r="I54" s="5">
        <v>1292.75</v>
      </c>
      <c r="J54" s="5">
        <v>1347.1</v>
      </c>
      <c r="K54" s="4">
        <v>4875</v>
      </c>
      <c r="L54" s="2">
        <v>12350</v>
      </c>
      <c r="M54" s="1">
        <v>600</v>
      </c>
      <c r="N54" s="1">
        <v>0.2</v>
      </c>
      <c r="O54" s="1">
        <v>0.3</v>
      </c>
      <c r="P54" s="1">
        <v>825</v>
      </c>
      <c r="Q54" s="7">
        <v>-0.9</v>
      </c>
      <c r="R54" s="2">
        <v>0.2</v>
      </c>
      <c r="S54" s="1" t="s">
        <v>16</v>
      </c>
      <c r="T54" s="1">
        <v>210</v>
      </c>
      <c r="U54" s="4">
        <v>4875</v>
      </c>
      <c r="V54" s="4">
        <v>19050</v>
      </c>
      <c r="W54" s="2" t="s">
        <v>15</v>
      </c>
    </row>
    <row r="55" spans="1:23" ht="17" x14ac:dyDescent="0.2">
      <c r="A55" s="2" t="s">
        <v>15</v>
      </c>
      <c r="B55" s="1">
        <v>825</v>
      </c>
      <c r="C55" s="4">
        <v>-1650</v>
      </c>
      <c r="D55" s="1">
        <v>27</v>
      </c>
      <c r="E55" s="1" t="s">
        <v>16</v>
      </c>
      <c r="F55" s="8">
        <v>1270</v>
      </c>
      <c r="G55" s="6">
        <v>37.75</v>
      </c>
      <c r="H55" s="1">
        <v>375</v>
      </c>
      <c r="I55" s="5">
        <v>1273.95</v>
      </c>
      <c r="J55" s="5">
        <v>1293.05</v>
      </c>
      <c r="K55" s="1">
        <v>450</v>
      </c>
      <c r="L55" s="2">
        <v>12400</v>
      </c>
      <c r="M55" s="4">
        <v>12750</v>
      </c>
      <c r="N55" s="1">
        <v>0.25</v>
      </c>
      <c r="O55" s="1">
        <v>0.3</v>
      </c>
      <c r="P55" s="4">
        <v>7575</v>
      </c>
      <c r="Q55" s="7">
        <v>-0.95</v>
      </c>
      <c r="R55" s="2">
        <v>0.3</v>
      </c>
      <c r="S55" s="1" t="s">
        <v>16</v>
      </c>
      <c r="T55" s="4">
        <v>4563</v>
      </c>
      <c r="U55" s="4">
        <v>-48900</v>
      </c>
      <c r="V55" s="4">
        <v>154725</v>
      </c>
      <c r="W55" s="2" t="s">
        <v>15</v>
      </c>
    </row>
    <row r="56" spans="1:23" ht="17" x14ac:dyDescent="0.2">
      <c r="A56" s="2" t="s">
        <v>15</v>
      </c>
      <c r="B56" s="1">
        <v>300</v>
      </c>
      <c r="C56" s="1" t="s">
        <v>16</v>
      </c>
      <c r="D56" s="1">
        <v>3</v>
      </c>
      <c r="E56" s="1" t="s">
        <v>16</v>
      </c>
      <c r="F56" s="8">
        <v>1232</v>
      </c>
      <c r="G56" s="6">
        <v>49.15</v>
      </c>
      <c r="H56" s="1">
        <v>75</v>
      </c>
      <c r="I56" s="5">
        <v>1198.5999999999999</v>
      </c>
      <c r="J56" s="5">
        <v>1239.05</v>
      </c>
      <c r="K56" s="1">
        <v>300</v>
      </c>
      <c r="L56" s="2">
        <v>12450</v>
      </c>
      <c r="M56" s="4">
        <v>9300</v>
      </c>
      <c r="N56" s="1">
        <v>0.15</v>
      </c>
      <c r="O56" s="1">
        <v>0.3</v>
      </c>
      <c r="P56" s="4">
        <v>1950</v>
      </c>
      <c r="Q56" s="7">
        <v>-1.2</v>
      </c>
      <c r="R56" s="2">
        <v>0.15</v>
      </c>
      <c r="S56" s="1" t="s">
        <v>16</v>
      </c>
      <c r="T56" s="1">
        <v>268</v>
      </c>
      <c r="U56" s="4">
        <v>-1050</v>
      </c>
      <c r="V56" s="4">
        <v>40275</v>
      </c>
      <c r="W56" s="2" t="s">
        <v>15</v>
      </c>
    </row>
    <row r="57" spans="1:23" ht="17" x14ac:dyDescent="0.2">
      <c r="A57" s="2" t="s">
        <v>15</v>
      </c>
      <c r="B57" s="4">
        <v>4650</v>
      </c>
      <c r="C57" s="4">
        <v>-1275</v>
      </c>
      <c r="D57" s="1">
        <v>49</v>
      </c>
      <c r="E57" s="1" t="s">
        <v>16</v>
      </c>
      <c r="F57" s="8">
        <v>1160.3</v>
      </c>
      <c r="G57" s="6">
        <v>76.05</v>
      </c>
      <c r="H57" s="1">
        <v>300</v>
      </c>
      <c r="I57" s="5">
        <v>1175.05</v>
      </c>
      <c r="J57" s="5">
        <v>1195.45</v>
      </c>
      <c r="K57" s="1">
        <v>75</v>
      </c>
      <c r="L57" s="2">
        <v>12500</v>
      </c>
      <c r="M57" s="4">
        <v>299925</v>
      </c>
      <c r="N57" s="1">
        <v>0.25</v>
      </c>
      <c r="O57" s="1">
        <v>0.3</v>
      </c>
      <c r="P57" s="4">
        <v>45675</v>
      </c>
      <c r="Q57" s="7">
        <v>-1.1000000000000001</v>
      </c>
      <c r="R57" s="2">
        <v>0.3</v>
      </c>
      <c r="S57" s="1" t="s">
        <v>16</v>
      </c>
      <c r="T57" s="4">
        <v>41006</v>
      </c>
      <c r="U57" s="4">
        <v>888075</v>
      </c>
      <c r="V57" s="4">
        <v>2296425</v>
      </c>
      <c r="W57" s="2" t="s">
        <v>15</v>
      </c>
    </row>
    <row r="58" spans="1:23" ht="17" x14ac:dyDescent="0.2">
      <c r="A58" s="2" t="s">
        <v>15</v>
      </c>
      <c r="B58" s="1">
        <v>375</v>
      </c>
      <c r="C58" s="1" t="s">
        <v>16</v>
      </c>
      <c r="D58" s="1" t="s">
        <v>16</v>
      </c>
      <c r="E58" s="1" t="s">
        <v>16</v>
      </c>
      <c r="F58" s="1" t="s">
        <v>16</v>
      </c>
      <c r="G58" s="3" t="s">
        <v>16</v>
      </c>
      <c r="H58" s="1">
        <v>75</v>
      </c>
      <c r="I58" s="5">
        <v>1099.8499999999999</v>
      </c>
      <c r="J58" s="5">
        <v>1138</v>
      </c>
      <c r="K58" s="1">
        <v>300</v>
      </c>
      <c r="L58" s="2">
        <v>12550</v>
      </c>
      <c r="M58" s="1">
        <v>750</v>
      </c>
      <c r="N58" s="1">
        <v>0.25</v>
      </c>
      <c r="O58" s="1">
        <v>0.3</v>
      </c>
      <c r="P58" s="4">
        <v>1500</v>
      </c>
      <c r="Q58" s="7">
        <v>-1.1499999999999999</v>
      </c>
      <c r="R58" s="2">
        <v>0.25</v>
      </c>
      <c r="S58" s="1" t="s">
        <v>16</v>
      </c>
      <c r="T58" s="1">
        <v>283</v>
      </c>
      <c r="U58" s="1">
        <v>300</v>
      </c>
      <c r="V58" s="4">
        <v>24150</v>
      </c>
      <c r="W58" s="2" t="s">
        <v>15</v>
      </c>
    </row>
    <row r="59" spans="1:23" ht="17" x14ac:dyDescent="0.2">
      <c r="A59" s="2" t="s">
        <v>15</v>
      </c>
      <c r="B59" s="4">
        <v>2475</v>
      </c>
      <c r="C59" s="1">
        <v>-975</v>
      </c>
      <c r="D59" s="1">
        <v>46</v>
      </c>
      <c r="E59" s="1" t="s">
        <v>16</v>
      </c>
      <c r="F59" s="8">
        <v>1050.0999999999999</v>
      </c>
      <c r="G59" s="6">
        <v>33.950000000000003</v>
      </c>
      <c r="H59" s="1">
        <v>75</v>
      </c>
      <c r="I59" s="5">
        <v>1075.1500000000001</v>
      </c>
      <c r="J59" s="5">
        <v>1089.05</v>
      </c>
      <c r="K59" s="1">
        <v>75</v>
      </c>
      <c r="L59" s="2">
        <v>12600</v>
      </c>
      <c r="M59" s="4">
        <v>10050</v>
      </c>
      <c r="N59" s="1">
        <v>0.25</v>
      </c>
      <c r="O59" s="1">
        <v>0.3</v>
      </c>
      <c r="P59" s="4">
        <v>4350</v>
      </c>
      <c r="Q59" s="7">
        <v>-1.25</v>
      </c>
      <c r="R59" s="2">
        <v>0.25</v>
      </c>
      <c r="S59" s="1" t="s">
        <v>16</v>
      </c>
      <c r="T59" s="4">
        <v>10670</v>
      </c>
      <c r="U59" s="4">
        <v>-138000</v>
      </c>
      <c r="V59" s="4">
        <v>378375</v>
      </c>
      <c r="W59" s="2" t="s">
        <v>15</v>
      </c>
    </row>
    <row r="60" spans="1:23" ht="17" x14ac:dyDescent="0.2">
      <c r="A60" s="2" t="s">
        <v>15</v>
      </c>
      <c r="B60" s="4">
        <v>3075</v>
      </c>
      <c r="C60" s="1" t="s">
        <v>16</v>
      </c>
      <c r="D60" s="1" t="s">
        <v>16</v>
      </c>
      <c r="E60" s="1" t="s">
        <v>16</v>
      </c>
      <c r="F60" s="1" t="s">
        <v>16</v>
      </c>
      <c r="G60" s="3" t="s">
        <v>16</v>
      </c>
      <c r="H60" s="1">
        <v>75</v>
      </c>
      <c r="I60" s="5">
        <v>1000.55</v>
      </c>
      <c r="J60" s="5">
        <v>1046.9000000000001</v>
      </c>
      <c r="K60" s="1">
        <v>75</v>
      </c>
      <c r="L60" s="2">
        <v>12650</v>
      </c>
      <c r="M60" s="4">
        <v>1050</v>
      </c>
      <c r="N60" s="1">
        <v>0.2</v>
      </c>
      <c r="O60" s="1">
        <v>0.3</v>
      </c>
      <c r="P60" s="4">
        <v>2175</v>
      </c>
      <c r="Q60" s="7">
        <v>-1.4</v>
      </c>
      <c r="R60" s="2">
        <v>0.2</v>
      </c>
      <c r="S60" s="1" t="s">
        <v>16</v>
      </c>
      <c r="T60" s="1">
        <v>632</v>
      </c>
      <c r="U60" s="4">
        <v>2775</v>
      </c>
      <c r="V60" s="4">
        <v>21225</v>
      </c>
      <c r="W60" s="2" t="s">
        <v>15</v>
      </c>
    </row>
    <row r="61" spans="1:23" ht="17" x14ac:dyDescent="0.2">
      <c r="A61" s="2" t="s">
        <v>15</v>
      </c>
      <c r="B61" s="4">
        <v>5175</v>
      </c>
      <c r="C61" s="1">
        <v>-975</v>
      </c>
      <c r="D61" s="1">
        <v>39</v>
      </c>
      <c r="E61" s="1" t="s">
        <v>16</v>
      </c>
      <c r="F61" s="2">
        <v>981.1</v>
      </c>
      <c r="G61" s="6">
        <v>68.650000000000006</v>
      </c>
      <c r="H61" s="1">
        <v>75</v>
      </c>
      <c r="I61" s="1">
        <v>977.3</v>
      </c>
      <c r="J61" s="1">
        <v>984.35</v>
      </c>
      <c r="K61" s="1">
        <v>75</v>
      </c>
      <c r="L61" s="2">
        <v>12700</v>
      </c>
      <c r="M61" s="4">
        <v>29700</v>
      </c>
      <c r="N61" s="1">
        <v>0.25</v>
      </c>
      <c r="O61" s="1">
        <v>0.3</v>
      </c>
      <c r="P61" s="4">
        <v>12675</v>
      </c>
      <c r="Q61" s="7">
        <v>-1.4</v>
      </c>
      <c r="R61" s="2">
        <v>0.25</v>
      </c>
      <c r="S61" s="1" t="s">
        <v>16</v>
      </c>
      <c r="T61" s="4">
        <v>15294</v>
      </c>
      <c r="U61" s="4">
        <v>17775</v>
      </c>
      <c r="V61" s="4">
        <v>654900</v>
      </c>
      <c r="W61" s="2" t="s">
        <v>15</v>
      </c>
    </row>
    <row r="62" spans="1:23" ht="17" x14ac:dyDescent="0.2">
      <c r="A62" s="2" t="s">
        <v>15</v>
      </c>
      <c r="B62" s="1">
        <v>975</v>
      </c>
      <c r="C62" s="1" t="s">
        <v>16</v>
      </c>
      <c r="D62" s="1">
        <v>1</v>
      </c>
      <c r="E62" s="1" t="s">
        <v>16</v>
      </c>
      <c r="F62" s="2">
        <v>932</v>
      </c>
      <c r="G62" s="6">
        <v>198.7</v>
      </c>
      <c r="H62" s="1">
        <v>75</v>
      </c>
      <c r="I62" s="1">
        <v>926.95</v>
      </c>
      <c r="J62" s="1">
        <v>936.85</v>
      </c>
      <c r="K62" s="1">
        <v>75</v>
      </c>
      <c r="L62" s="2">
        <v>12750</v>
      </c>
      <c r="M62" s="4">
        <v>3675</v>
      </c>
      <c r="N62" s="1">
        <v>0.25</v>
      </c>
      <c r="O62" s="1">
        <v>0.35</v>
      </c>
      <c r="P62" s="1">
        <v>450</v>
      </c>
      <c r="Q62" s="7">
        <v>-1.5</v>
      </c>
      <c r="R62" s="2">
        <v>0.3</v>
      </c>
      <c r="S62" s="1" t="s">
        <v>16</v>
      </c>
      <c r="T62" s="4">
        <v>1876</v>
      </c>
      <c r="U62" s="4">
        <v>-21450</v>
      </c>
      <c r="V62" s="4">
        <v>80025</v>
      </c>
      <c r="W62" s="2" t="s">
        <v>15</v>
      </c>
    </row>
    <row r="63" spans="1:23" ht="17" x14ac:dyDescent="0.2">
      <c r="A63" s="2" t="s">
        <v>15</v>
      </c>
      <c r="B63" s="4">
        <v>19125</v>
      </c>
      <c r="C63" s="4">
        <v>-1500</v>
      </c>
      <c r="D63" s="1">
        <v>45</v>
      </c>
      <c r="E63" s="1" t="s">
        <v>16</v>
      </c>
      <c r="F63" s="2">
        <v>880</v>
      </c>
      <c r="G63" s="6">
        <v>75.150000000000006</v>
      </c>
      <c r="H63" s="1">
        <v>75</v>
      </c>
      <c r="I63" s="1">
        <v>877.75</v>
      </c>
      <c r="J63" s="1">
        <v>885</v>
      </c>
      <c r="K63" s="1">
        <v>750</v>
      </c>
      <c r="L63" s="2">
        <v>12800</v>
      </c>
      <c r="M63" s="4">
        <v>10125</v>
      </c>
      <c r="N63" s="1">
        <v>0.3</v>
      </c>
      <c r="O63" s="1">
        <v>0.35</v>
      </c>
      <c r="P63" s="4">
        <v>30450</v>
      </c>
      <c r="Q63" s="7">
        <v>-1.6</v>
      </c>
      <c r="R63" s="2">
        <v>0.35</v>
      </c>
      <c r="S63" s="1" t="s">
        <v>16</v>
      </c>
      <c r="T63" s="4">
        <v>31755</v>
      </c>
      <c r="U63" s="4">
        <v>-78375</v>
      </c>
      <c r="V63" s="4">
        <v>1570350</v>
      </c>
      <c r="W63" s="2" t="s">
        <v>15</v>
      </c>
    </row>
    <row r="64" spans="1:23" ht="17" x14ac:dyDescent="0.2">
      <c r="A64" s="2" t="s">
        <v>15</v>
      </c>
      <c r="B64" s="4">
        <v>1575</v>
      </c>
      <c r="C64" s="1" t="s">
        <v>16</v>
      </c>
      <c r="D64" s="1">
        <v>6</v>
      </c>
      <c r="E64" s="1" t="s">
        <v>16</v>
      </c>
      <c r="F64" s="2">
        <v>842.95</v>
      </c>
      <c r="G64" s="6">
        <v>86.35</v>
      </c>
      <c r="H64" s="1">
        <v>75</v>
      </c>
      <c r="I64" s="1">
        <v>827.2</v>
      </c>
      <c r="J64" s="1">
        <v>840.8</v>
      </c>
      <c r="K64" s="1">
        <v>75</v>
      </c>
      <c r="L64" s="2">
        <v>12850</v>
      </c>
      <c r="M64" s="4">
        <v>4050</v>
      </c>
      <c r="N64" s="1">
        <v>0.3</v>
      </c>
      <c r="O64" s="1">
        <v>0.4</v>
      </c>
      <c r="P64" s="4">
        <v>1650</v>
      </c>
      <c r="Q64" s="7">
        <v>-1.85</v>
      </c>
      <c r="R64" s="2">
        <v>0.3</v>
      </c>
      <c r="S64" s="1" t="s">
        <v>16</v>
      </c>
      <c r="T64" s="4">
        <v>2751</v>
      </c>
      <c r="U64" s="4">
        <v>-22425</v>
      </c>
      <c r="V64" s="4">
        <v>112575</v>
      </c>
      <c r="W64" s="2" t="s">
        <v>15</v>
      </c>
    </row>
    <row r="65" spans="1:23" ht="17" x14ac:dyDescent="0.2">
      <c r="A65" s="2" t="s">
        <v>15</v>
      </c>
      <c r="B65" s="4">
        <v>12000</v>
      </c>
      <c r="C65" s="4">
        <v>-3075</v>
      </c>
      <c r="D65" s="1">
        <v>71</v>
      </c>
      <c r="E65" s="1" t="s">
        <v>16</v>
      </c>
      <c r="F65" s="2">
        <v>782.1</v>
      </c>
      <c r="G65" s="6">
        <v>78.099999999999994</v>
      </c>
      <c r="H65" s="1">
        <v>75</v>
      </c>
      <c r="I65" s="1">
        <v>782.45</v>
      </c>
      <c r="J65" s="1">
        <v>785.25</v>
      </c>
      <c r="K65" s="1">
        <v>75</v>
      </c>
      <c r="L65" s="2">
        <v>12900</v>
      </c>
      <c r="M65" s="4">
        <v>18825</v>
      </c>
      <c r="N65" s="1">
        <v>0.3</v>
      </c>
      <c r="O65" s="1">
        <v>0.35</v>
      </c>
      <c r="P65" s="4">
        <v>14700</v>
      </c>
      <c r="Q65" s="7">
        <v>-1.9</v>
      </c>
      <c r="R65" s="2">
        <v>0.35</v>
      </c>
      <c r="S65" s="1" t="s">
        <v>16</v>
      </c>
      <c r="T65" s="4">
        <v>20885</v>
      </c>
      <c r="U65" s="4">
        <v>-116100</v>
      </c>
      <c r="V65" s="4">
        <v>984750</v>
      </c>
      <c r="W65" s="2" t="s">
        <v>15</v>
      </c>
    </row>
    <row r="66" spans="1:23" ht="17" x14ac:dyDescent="0.2">
      <c r="A66" s="2" t="s">
        <v>15</v>
      </c>
      <c r="B66" s="4">
        <v>8025</v>
      </c>
      <c r="C66" s="4">
        <v>-5025</v>
      </c>
      <c r="D66" s="1">
        <v>85</v>
      </c>
      <c r="E66" s="1" t="s">
        <v>16</v>
      </c>
      <c r="F66" s="2">
        <v>726</v>
      </c>
      <c r="G66" s="6">
        <v>66.05</v>
      </c>
      <c r="H66" s="1">
        <v>75</v>
      </c>
      <c r="I66" s="1">
        <v>732.3</v>
      </c>
      <c r="J66" s="1">
        <v>734.85</v>
      </c>
      <c r="K66" s="1">
        <v>150</v>
      </c>
      <c r="L66" s="2">
        <v>12950</v>
      </c>
      <c r="M66" s="4">
        <v>1575</v>
      </c>
      <c r="N66" s="1">
        <v>0.35</v>
      </c>
      <c r="O66" s="1">
        <v>0.4</v>
      </c>
      <c r="P66" s="4">
        <v>2400</v>
      </c>
      <c r="Q66" s="7">
        <v>-2.0499999999999998</v>
      </c>
      <c r="R66" s="2">
        <v>0.35</v>
      </c>
      <c r="S66" s="1" t="s">
        <v>16</v>
      </c>
      <c r="T66" s="4">
        <v>3278</v>
      </c>
      <c r="U66" s="4">
        <v>-3600</v>
      </c>
      <c r="V66" s="4">
        <v>171525</v>
      </c>
      <c r="W66" s="2" t="s">
        <v>15</v>
      </c>
    </row>
    <row r="67" spans="1:23" ht="17" x14ac:dyDescent="0.2">
      <c r="A67" s="2" t="s">
        <v>15</v>
      </c>
      <c r="B67" s="4">
        <v>45225</v>
      </c>
      <c r="C67" s="4">
        <v>-16875</v>
      </c>
      <c r="D67" s="1">
        <v>350</v>
      </c>
      <c r="E67" s="1" t="s">
        <v>16</v>
      </c>
      <c r="F67" s="2">
        <v>680</v>
      </c>
      <c r="G67" s="6">
        <v>78.599999999999994</v>
      </c>
      <c r="H67" s="1">
        <v>750</v>
      </c>
      <c r="I67" s="1">
        <v>682.15</v>
      </c>
      <c r="J67" s="1">
        <v>685.55</v>
      </c>
      <c r="K67" s="1">
        <v>675</v>
      </c>
      <c r="L67" s="2">
        <v>13000</v>
      </c>
      <c r="M67" s="4">
        <v>101025</v>
      </c>
      <c r="N67" s="1">
        <v>0.35</v>
      </c>
      <c r="O67" s="1">
        <v>0.4</v>
      </c>
      <c r="P67" s="4">
        <v>4200</v>
      </c>
      <c r="Q67" s="7">
        <v>-2.2999999999999998</v>
      </c>
      <c r="R67" s="2">
        <v>0.4</v>
      </c>
      <c r="S67" s="1" t="s">
        <v>16</v>
      </c>
      <c r="T67" s="4">
        <v>125460</v>
      </c>
      <c r="U67" s="4">
        <v>564675</v>
      </c>
      <c r="V67" s="4">
        <v>4359375</v>
      </c>
      <c r="W67" s="2" t="s">
        <v>15</v>
      </c>
    </row>
    <row r="68" spans="1:23" ht="17" x14ac:dyDescent="0.2">
      <c r="A68" s="2" t="s">
        <v>15</v>
      </c>
      <c r="B68" s="4">
        <v>6975</v>
      </c>
      <c r="C68" s="4">
        <v>-6450</v>
      </c>
      <c r="D68" s="1">
        <v>122</v>
      </c>
      <c r="E68" s="1" t="s">
        <v>16</v>
      </c>
      <c r="F68" s="2">
        <v>625.45000000000005</v>
      </c>
      <c r="G68" s="6">
        <v>95.45</v>
      </c>
      <c r="H68" s="1">
        <v>75</v>
      </c>
      <c r="I68" s="1">
        <v>632.25</v>
      </c>
      <c r="J68" s="1">
        <v>634.9</v>
      </c>
      <c r="K68" s="4">
        <v>1200</v>
      </c>
      <c r="L68" s="2">
        <v>13050</v>
      </c>
      <c r="M68" s="4">
        <v>10800</v>
      </c>
      <c r="N68" s="1">
        <v>0.35</v>
      </c>
      <c r="O68" s="1">
        <v>0.4</v>
      </c>
      <c r="P68" s="4">
        <v>5925</v>
      </c>
      <c r="Q68" s="7">
        <v>-2.4500000000000002</v>
      </c>
      <c r="R68" s="2">
        <v>0.4</v>
      </c>
      <c r="S68" s="1" t="s">
        <v>16</v>
      </c>
      <c r="T68" s="4">
        <v>8632</v>
      </c>
      <c r="U68" s="4">
        <v>64350</v>
      </c>
      <c r="V68" s="4">
        <v>314100</v>
      </c>
      <c r="W68" s="2" t="s">
        <v>15</v>
      </c>
    </row>
    <row r="69" spans="1:23" ht="17" x14ac:dyDescent="0.2">
      <c r="A69" s="2" t="s">
        <v>15</v>
      </c>
      <c r="B69" s="4">
        <v>47775</v>
      </c>
      <c r="C69" s="4">
        <v>-5625</v>
      </c>
      <c r="D69" s="1">
        <v>257</v>
      </c>
      <c r="E69" s="1" t="s">
        <v>16</v>
      </c>
      <c r="F69" s="2">
        <v>567</v>
      </c>
      <c r="G69" s="6">
        <v>58.35</v>
      </c>
      <c r="H69" s="1">
        <v>75</v>
      </c>
      <c r="I69" s="1">
        <v>582.5</v>
      </c>
      <c r="J69" s="1">
        <v>584.54999999999995</v>
      </c>
      <c r="K69" s="1">
        <v>375</v>
      </c>
      <c r="L69" s="2">
        <v>13100</v>
      </c>
      <c r="M69" s="4">
        <v>21450</v>
      </c>
      <c r="N69" s="1">
        <v>0.4</v>
      </c>
      <c r="O69" s="1">
        <v>0.45</v>
      </c>
      <c r="P69" s="4">
        <v>17550</v>
      </c>
      <c r="Q69" s="7">
        <v>-2.7</v>
      </c>
      <c r="R69" s="2">
        <v>0.4</v>
      </c>
      <c r="S69" s="1" t="s">
        <v>16</v>
      </c>
      <c r="T69" s="4">
        <v>50435</v>
      </c>
      <c r="U69" s="4">
        <v>42675</v>
      </c>
      <c r="V69" s="4">
        <v>1444200</v>
      </c>
      <c r="W69" s="2" t="s">
        <v>15</v>
      </c>
    </row>
    <row r="70" spans="1:23" ht="17" x14ac:dyDescent="0.2">
      <c r="A70" s="2" t="s">
        <v>15</v>
      </c>
      <c r="B70" s="4">
        <v>13875</v>
      </c>
      <c r="C70" s="4">
        <v>-5250</v>
      </c>
      <c r="D70" s="1">
        <v>95</v>
      </c>
      <c r="E70" s="1" t="s">
        <v>16</v>
      </c>
      <c r="F70" s="2">
        <v>523</v>
      </c>
      <c r="G70" s="6">
        <v>63.65</v>
      </c>
      <c r="H70" s="1">
        <v>75</v>
      </c>
      <c r="I70" s="1">
        <v>531.9</v>
      </c>
      <c r="J70" s="1">
        <v>534.45000000000005</v>
      </c>
      <c r="K70" s="1">
        <v>750</v>
      </c>
      <c r="L70" s="2">
        <v>13150</v>
      </c>
      <c r="M70" s="4">
        <v>3975</v>
      </c>
      <c r="N70" s="1">
        <v>0.45</v>
      </c>
      <c r="O70" s="1">
        <v>0.5</v>
      </c>
      <c r="P70" s="4">
        <v>9525</v>
      </c>
      <c r="Q70" s="7">
        <v>-2.95</v>
      </c>
      <c r="R70" s="2">
        <v>0.45</v>
      </c>
      <c r="S70" s="1" t="s">
        <v>16</v>
      </c>
      <c r="T70" s="4">
        <v>18936</v>
      </c>
      <c r="U70" s="4">
        <v>-113775</v>
      </c>
      <c r="V70" s="4">
        <v>270375</v>
      </c>
      <c r="W70" s="2" t="s">
        <v>15</v>
      </c>
    </row>
    <row r="71" spans="1:23" ht="17" x14ac:dyDescent="0.2">
      <c r="A71" s="2" t="s">
        <v>15</v>
      </c>
      <c r="B71" s="4">
        <v>129150</v>
      </c>
      <c r="C71" s="4">
        <v>-33000</v>
      </c>
      <c r="D71" s="4">
        <v>1105</v>
      </c>
      <c r="E71" s="1" t="s">
        <v>16</v>
      </c>
      <c r="F71" s="2">
        <v>478</v>
      </c>
      <c r="G71" s="6">
        <v>72.05</v>
      </c>
      <c r="H71" s="1">
        <v>75</v>
      </c>
      <c r="I71" s="1">
        <v>482.65</v>
      </c>
      <c r="J71" s="1">
        <v>484.4</v>
      </c>
      <c r="K71" s="1">
        <v>375</v>
      </c>
      <c r="L71" s="2">
        <v>13200</v>
      </c>
      <c r="M71" s="4">
        <v>18450</v>
      </c>
      <c r="N71" s="1">
        <v>0.55000000000000004</v>
      </c>
      <c r="O71" s="1">
        <v>0.6</v>
      </c>
      <c r="P71" s="4">
        <v>62700</v>
      </c>
      <c r="Q71" s="7">
        <v>-3.15</v>
      </c>
      <c r="R71" s="2">
        <v>0.6</v>
      </c>
      <c r="S71" s="1" t="s">
        <v>16</v>
      </c>
      <c r="T71" s="4">
        <v>115708</v>
      </c>
      <c r="U71" s="4">
        <v>225375</v>
      </c>
      <c r="V71" s="4">
        <v>2144550</v>
      </c>
      <c r="W71" s="2" t="s">
        <v>15</v>
      </c>
    </row>
    <row r="72" spans="1:23" ht="17" x14ac:dyDescent="0.2">
      <c r="A72" s="2" t="s">
        <v>15</v>
      </c>
      <c r="B72" s="4">
        <v>53100</v>
      </c>
      <c r="C72" s="4">
        <v>-4875</v>
      </c>
      <c r="D72" s="1">
        <v>172</v>
      </c>
      <c r="E72" s="1" t="s">
        <v>16</v>
      </c>
      <c r="F72" s="2">
        <v>421.35</v>
      </c>
      <c r="G72" s="6">
        <v>66.900000000000006</v>
      </c>
      <c r="H72" s="1">
        <v>75</v>
      </c>
      <c r="I72" s="1">
        <v>432.3</v>
      </c>
      <c r="J72" s="1">
        <v>434.5</v>
      </c>
      <c r="K72" s="1">
        <v>150</v>
      </c>
      <c r="L72" s="2">
        <v>13250</v>
      </c>
      <c r="M72" s="4">
        <v>15000</v>
      </c>
      <c r="N72" s="1">
        <v>0.7</v>
      </c>
      <c r="O72" s="1">
        <v>0.75</v>
      </c>
      <c r="P72" s="4">
        <v>9000</v>
      </c>
      <c r="Q72" s="7">
        <v>-3.35</v>
      </c>
      <c r="R72" s="2">
        <v>0.75</v>
      </c>
      <c r="S72" s="1" t="s">
        <v>16</v>
      </c>
      <c r="T72" s="4">
        <v>48528</v>
      </c>
      <c r="U72" s="4">
        <v>-18975</v>
      </c>
      <c r="V72" s="4">
        <v>531825</v>
      </c>
      <c r="W72" s="2" t="s">
        <v>15</v>
      </c>
    </row>
    <row r="73" spans="1:23" ht="17" x14ac:dyDescent="0.2">
      <c r="A73" s="2" t="s">
        <v>15</v>
      </c>
      <c r="B73" s="4">
        <v>234300</v>
      </c>
      <c r="C73" s="4">
        <v>-149325</v>
      </c>
      <c r="D73" s="4">
        <v>6147</v>
      </c>
      <c r="E73" s="1" t="s">
        <v>16</v>
      </c>
      <c r="F73" s="2">
        <v>385</v>
      </c>
      <c r="G73" s="6">
        <v>82.4</v>
      </c>
      <c r="H73" s="1">
        <v>300</v>
      </c>
      <c r="I73" s="1">
        <v>385.05</v>
      </c>
      <c r="J73" s="1">
        <v>386.95</v>
      </c>
      <c r="K73" s="1">
        <v>75</v>
      </c>
      <c r="L73" s="2">
        <v>13300</v>
      </c>
      <c r="M73" s="4">
        <v>23475</v>
      </c>
      <c r="N73" s="1">
        <v>0.95</v>
      </c>
      <c r="O73" s="1">
        <v>1</v>
      </c>
      <c r="P73" s="4">
        <v>24300</v>
      </c>
      <c r="Q73" s="7">
        <v>-3.7</v>
      </c>
      <c r="R73" s="2">
        <v>0.95</v>
      </c>
      <c r="S73" s="1" t="s">
        <v>16</v>
      </c>
      <c r="T73" s="4">
        <v>225383</v>
      </c>
      <c r="U73" s="4">
        <v>525675</v>
      </c>
      <c r="V73" s="4">
        <v>2605500</v>
      </c>
      <c r="W73" s="2" t="s">
        <v>15</v>
      </c>
    </row>
    <row r="74" spans="1:23" ht="17" x14ac:dyDescent="0.2">
      <c r="A74" s="2" t="s">
        <v>15</v>
      </c>
      <c r="B74" s="4">
        <v>70425</v>
      </c>
      <c r="C74" s="4">
        <v>-10800</v>
      </c>
      <c r="D74" s="1">
        <v>708</v>
      </c>
      <c r="E74" s="1" t="s">
        <v>16</v>
      </c>
      <c r="F74" s="2">
        <v>335.5</v>
      </c>
      <c r="G74" s="6">
        <v>78.75</v>
      </c>
      <c r="H74" s="1">
        <v>225</v>
      </c>
      <c r="I74" s="1">
        <v>335.4</v>
      </c>
      <c r="J74" s="1">
        <v>337.5</v>
      </c>
      <c r="K74" s="1">
        <v>450</v>
      </c>
      <c r="L74" s="2">
        <v>13350</v>
      </c>
      <c r="M74" s="4">
        <v>9300</v>
      </c>
      <c r="N74" s="1">
        <v>1.2</v>
      </c>
      <c r="O74" s="1">
        <v>1.25</v>
      </c>
      <c r="P74" s="4">
        <v>10275</v>
      </c>
      <c r="Q74" s="7">
        <v>-4.3</v>
      </c>
      <c r="R74" s="2">
        <v>1.25</v>
      </c>
      <c r="S74" s="1" t="s">
        <v>16</v>
      </c>
      <c r="T74" s="4">
        <v>120138</v>
      </c>
      <c r="U74" s="4">
        <v>-197025</v>
      </c>
      <c r="V74" s="4">
        <v>1026000</v>
      </c>
      <c r="W74" s="2" t="s">
        <v>15</v>
      </c>
    </row>
    <row r="75" spans="1:23" ht="17" x14ac:dyDescent="0.2">
      <c r="A75" s="2" t="s">
        <v>15</v>
      </c>
      <c r="B75" s="4">
        <v>329025</v>
      </c>
      <c r="C75" s="4">
        <v>-97425</v>
      </c>
      <c r="D75" s="4">
        <v>9882</v>
      </c>
      <c r="E75" s="1" t="s">
        <v>16</v>
      </c>
      <c r="F75" s="2">
        <v>284</v>
      </c>
      <c r="G75" s="6">
        <v>77.5</v>
      </c>
      <c r="H75" s="1">
        <v>150</v>
      </c>
      <c r="I75" s="1">
        <v>283.85000000000002</v>
      </c>
      <c r="J75" s="1">
        <v>284.89999999999998</v>
      </c>
      <c r="K75" s="1">
        <v>150</v>
      </c>
      <c r="L75" s="2">
        <v>13400</v>
      </c>
      <c r="M75" s="4">
        <v>21900</v>
      </c>
      <c r="N75" s="1">
        <v>1.5</v>
      </c>
      <c r="O75" s="1">
        <v>1.55</v>
      </c>
      <c r="P75" s="4">
        <v>15975</v>
      </c>
      <c r="Q75" s="7">
        <v>-6.25</v>
      </c>
      <c r="R75" s="2">
        <v>1.55</v>
      </c>
      <c r="S75" s="1" t="s">
        <v>16</v>
      </c>
      <c r="T75" s="4">
        <v>308694</v>
      </c>
      <c r="U75" s="4">
        <v>734775</v>
      </c>
      <c r="V75" s="4">
        <v>3520425</v>
      </c>
      <c r="W75" s="2" t="s">
        <v>15</v>
      </c>
    </row>
    <row r="76" spans="1:23" ht="17" x14ac:dyDescent="0.2">
      <c r="A76" s="2" t="s">
        <v>15</v>
      </c>
      <c r="B76" s="4">
        <v>370125</v>
      </c>
      <c r="C76" s="4">
        <v>-30900</v>
      </c>
      <c r="D76" s="4">
        <v>4667</v>
      </c>
      <c r="E76" s="1" t="s">
        <v>16</v>
      </c>
      <c r="F76" s="2">
        <v>230.45</v>
      </c>
      <c r="G76" s="6">
        <v>69.5</v>
      </c>
      <c r="H76" s="1">
        <v>150</v>
      </c>
      <c r="I76" s="1">
        <v>234.9</v>
      </c>
      <c r="J76" s="1">
        <v>235.9</v>
      </c>
      <c r="K76" s="1">
        <v>375</v>
      </c>
      <c r="L76" s="2">
        <v>13450</v>
      </c>
      <c r="M76" s="4">
        <v>10275</v>
      </c>
      <c r="N76" s="1">
        <v>1.95</v>
      </c>
      <c r="O76" s="1">
        <v>2</v>
      </c>
      <c r="P76" s="4">
        <v>10200</v>
      </c>
      <c r="Q76" s="7">
        <v>-9.5</v>
      </c>
      <c r="R76" s="2">
        <v>1.95</v>
      </c>
      <c r="S76" s="1" t="s">
        <v>16</v>
      </c>
      <c r="T76" s="4">
        <v>226954</v>
      </c>
      <c r="U76" s="4">
        <v>350850</v>
      </c>
      <c r="V76" s="4">
        <v>1685475</v>
      </c>
      <c r="W76" s="2" t="s">
        <v>15</v>
      </c>
    </row>
    <row r="77" spans="1:23" ht="17" x14ac:dyDescent="0.2">
      <c r="A77" s="2" t="s">
        <v>15</v>
      </c>
      <c r="B77" s="4">
        <v>1073775</v>
      </c>
      <c r="C77" s="4">
        <v>-167025</v>
      </c>
      <c r="D77" s="4">
        <v>69761</v>
      </c>
      <c r="E77" s="1" t="s">
        <v>16</v>
      </c>
      <c r="F77" s="2">
        <v>184.85</v>
      </c>
      <c r="G77" s="6">
        <v>68.5</v>
      </c>
      <c r="H77" s="1">
        <v>75</v>
      </c>
      <c r="I77" s="1">
        <v>184.9</v>
      </c>
      <c r="J77" s="1">
        <v>185.45</v>
      </c>
      <c r="K77" s="1">
        <v>75</v>
      </c>
      <c r="L77" s="2">
        <v>13500</v>
      </c>
      <c r="M77" s="4">
        <v>22200</v>
      </c>
      <c r="N77" s="1">
        <v>2.8</v>
      </c>
      <c r="O77" s="1">
        <v>2.85</v>
      </c>
      <c r="P77" s="4">
        <v>4800</v>
      </c>
      <c r="Q77" s="7">
        <v>-15.2</v>
      </c>
      <c r="R77" s="2">
        <v>2.85</v>
      </c>
      <c r="S77" s="1" t="s">
        <v>16</v>
      </c>
      <c r="T77" s="4">
        <v>580045</v>
      </c>
      <c r="U77" s="4">
        <v>1798200</v>
      </c>
      <c r="V77" s="4">
        <v>4765425</v>
      </c>
      <c r="W77" s="2" t="s">
        <v>15</v>
      </c>
    </row>
    <row r="78" spans="1:23" ht="17" x14ac:dyDescent="0.2">
      <c r="A78" s="2" t="s">
        <v>15</v>
      </c>
      <c r="B78" s="4">
        <v>916200</v>
      </c>
      <c r="C78" s="4">
        <v>-150675</v>
      </c>
      <c r="D78" s="4">
        <v>53980</v>
      </c>
      <c r="E78" s="1" t="s">
        <v>16</v>
      </c>
      <c r="F78" s="2">
        <v>136.94999999999999</v>
      </c>
      <c r="G78" s="6">
        <v>59.7</v>
      </c>
      <c r="H78" s="1">
        <v>150</v>
      </c>
      <c r="I78" s="1">
        <v>136.75</v>
      </c>
      <c r="J78" s="1">
        <v>137.15</v>
      </c>
      <c r="K78" s="1">
        <v>75</v>
      </c>
      <c r="L78" s="2">
        <v>13550</v>
      </c>
      <c r="M78" s="4">
        <v>4575</v>
      </c>
      <c r="N78" s="1">
        <v>4.5</v>
      </c>
      <c r="O78" s="1">
        <v>4.55</v>
      </c>
      <c r="P78" s="4">
        <v>1500</v>
      </c>
      <c r="Q78" s="7">
        <v>-23.95</v>
      </c>
      <c r="R78" s="2">
        <v>4.55</v>
      </c>
      <c r="S78" s="1" t="s">
        <v>16</v>
      </c>
      <c r="T78" s="4">
        <v>481609</v>
      </c>
      <c r="U78" s="4">
        <v>1396275</v>
      </c>
      <c r="V78" s="4">
        <v>2471925</v>
      </c>
      <c r="W78" s="2" t="s">
        <v>15</v>
      </c>
    </row>
    <row r="79" spans="1:23" ht="17" x14ac:dyDescent="0.2">
      <c r="A79" s="2" t="s">
        <v>15</v>
      </c>
      <c r="B79" s="4">
        <v>1796175</v>
      </c>
      <c r="C79" s="4">
        <v>-409050</v>
      </c>
      <c r="D79" s="4">
        <v>303640</v>
      </c>
      <c r="E79" s="1" t="s">
        <v>16</v>
      </c>
      <c r="F79" s="2">
        <v>91.25</v>
      </c>
      <c r="G79" s="6">
        <v>44.8</v>
      </c>
      <c r="H79" s="1">
        <v>75</v>
      </c>
      <c r="I79" s="1">
        <v>91.4</v>
      </c>
      <c r="J79" s="1">
        <v>91.75</v>
      </c>
      <c r="K79" s="1">
        <v>150</v>
      </c>
      <c r="L79" s="2">
        <v>13600</v>
      </c>
      <c r="M79" s="4">
        <v>1200</v>
      </c>
      <c r="N79" s="1">
        <v>9.5</v>
      </c>
      <c r="O79" s="1">
        <v>9.5500000000000007</v>
      </c>
      <c r="P79" s="1">
        <v>75</v>
      </c>
      <c r="Q79" s="7">
        <v>-37.200000000000003</v>
      </c>
      <c r="R79" s="2">
        <v>9.6</v>
      </c>
      <c r="S79" s="1" t="s">
        <v>16</v>
      </c>
      <c r="T79" s="4">
        <v>1070138</v>
      </c>
      <c r="U79" s="4">
        <v>3515175</v>
      </c>
      <c r="V79" s="4">
        <v>5032725</v>
      </c>
      <c r="W79" s="2" t="s">
        <v>15</v>
      </c>
    </row>
    <row r="80" spans="1:23" ht="17" x14ac:dyDescent="0.2">
      <c r="A80" s="2" t="s">
        <v>15</v>
      </c>
      <c r="B80" s="4">
        <v>2128425</v>
      </c>
      <c r="C80" s="4">
        <v>347550</v>
      </c>
      <c r="D80" s="4">
        <v>365190</v>
      </c>
      <c r="E80" s="1" t="s">
        <v>16</v>
      </c>
      <c r="F80" s="2">
        <v>52</v>
      </c>
      <c r="G80" s="6">
        <v>27.5</v>
      </c>
      <c r="H80" s="1">
        <v>450</v>
      </c>
      <c r="I80" s="1">
        <v>51.8</v>
      </c>
      <c r="J80" s="1">
        <v>52</v>
      </c>
      <c r="K80" s="4">
        <v>1350</v>
      </c>
      <c r="L80" s="2">
        <v>13650</v>
      </c>
      <c r="M80" s="4">
        <v>4500</v>
      </c>
      <c r="N80" s="1">
        <v>19.649999999999999</v>
      </c>
      <c r="O80" s="1">
        <v>19.8</v>
      </c>
      <c r="P80" s="1">
        <v>900</v>
      </c>
      <c r="Q80" s="7">
        <v>-54.15</v>
      </c>
      <c r="R80" s="2">
        <v>19.7</v>
      </c>
      <c r="S80" s="1" t="s">
        <v>16</v>
      </c>
      <c r="T80" s="4">
        <v>717397</v>
      </c>
      <c r="U80" s="4">
        <v>2269950</v>
      </c>
      <c r="V80" s="4">
        <v>2482650</v>
      </c>
      <c r="W80" s="2" t="s">
        <v>15</v>
      </c>
    </row>
    <row r="81" spans="1:23" ht="17" x14ac:dyDescent="0.2">
      <c r="A81" s="2" t="s">
        <v>15</v>
      </c>
      <c r="B81" s="4">
        <v>6486900</v>
      </c>
      <c r="C81" s="4">
        <v>2681400</v>
      </c>
      <c r="D81" s="4">
        <v>1181442</v>
      </c>
      <c r="E81" s="1" t="s">
        <v>16</v>
      </c>
      <c r="F81" s="2">
        <v>22.2</v>
      </c>
      <c r="G81" s="6">
        <v>10.55</v>
      </c>
      <c r="H81" s="4">
        <v>2550</v>
      </c>
      <c r="I81" s="1">
        <v>22.1</v>
      </c>
      <c r="J81" s="1">
        <v>22.25</v>
      </c>
      <c r="K81" s="4">
        <v>2850</v>
      </c>
      <c r="L81" s="2">
        <v>13700</v>
      </c>
      <c r="M81" s="1">
        <v>75</v>
      </c>
      <c r="N81" s="1">
        <v>39.85</v>
      </c>
      <c r="O81" s="1">
        <v>40.049999999999997</v>
      </c>
      <c r="P81" s="1">
        <v>300</v>
      </c>
      <c r="Q81" s="7">
        <v>-70.849999999999994</v>
      </c>
      <c r="R81" s="2">
        <v>40.1</v>
      </c>
      <c r="S81" s="1" t="s">
        <v>16</v>
      </c>
      <c r="T81" s="4">
        <v>814063</v>
      </c>
      <c r="U81" s="4">
        <v>2216175</v>
      </c>
      <c r="V81" s="4">
        <v>2685300</v>
      </c>
      <c r="W81" s="2" t="s">
        <v>15</v>
      </c>
    </row>
    <row r="82" spans="1:23" ht="17" x14ac:dyDescent="0.2">
      <c r="A82" s="2" t="s">
        <v>15</v>
      </c>
      <c r="B82" s="4">
        <v>5209500</v>
      </c>
      <c r="C82" s="4">
        <v>3236775</v>
      </c>
      <c r="D82" s="4">
        <v>819065</v>
      </c>
      <c r="E82" s="1" t="s">
        <v>16</v>
      </c>
      <c r="F82" s="2">
        <v>8</v>
      </c>
      <c r="G82" s="6">
        <v>2.7</v>
      </c>
      <c r="H82" s="4">
        <v>4350</v>
      </c>
      <c r="I82" s="1">
        <v>7.9</v>
      </c>
      <c r="J82" s="1">
        <v>8</v>
      </c>
      <c r="K82" s="4">
        <v>8250</v>
      </c>
      <c r="L82" s="2">
        <v>13750</v>
      </c>
      <c r="M82" s="1">
        <v>150</v>
      </c>
      <c r="N82" s="1">
        <v>75.5</v>
      </c>
      <c r="O82" s="1">
        <v>75.8</v>
      </c>
      <c r="P82" s="1">
        <v>150</v>
      </c>
      <c r="Q82" s="7">
        <v>-79.75</v>
      </c>
      <c r="R82" s="2">
        <v>75.650000000000006</v>
      </c>
      <c r="S82" s="1" t="s">
        <v>16</v>
      </c>
      <c r="T82" s="4">
        <v>165279</v>
      </c>
      <c r="U82" s="4">
        <v>212250</v>
      </c>
      <c r="V82" s="4">
        <v>371025</v>
      </c>
      <c r="W82" s="2" t="s">
        <v>15</v>
      </c>
    </row>
    <row r="83" spans="1:23" ht="17" x14ac:dyDescent="0.2">
      <c r="A83" s="2" t="s">
        <v>15</v>
      </c>
      <c r="B83" s="4">
        <v>5861550</v>
      </c>
      <c r="C83" s="4">
        <v>2771400</v>
      </c>
      <c r="D83" s="4">
        <v>694453</v>
      </c>
      <c r="E83" s="1" t="s">
        <v>16</v>
      </c>
      <c r="F83" s="2">
        <v>2.6</v>
      </c>
      <c r="G83" s="7">
        <v>-0.4</v>
      </c>
      <c r="H83" s="4">
        <v>3225</v>
      </c>
      <c r="I83" s="1">
        <v>2.6</v>
      </c>
      <c r="J83" s="1">
        <v>2.65</v>
      </c>
      <c r="K83" s="4">
        <v>4800</v>
      </c>
      <c r="L83" s="2">
        <v>13800</v>
      </c>
      <c r="M83" s="1">
        <v>300</v>
      </c>
      <c r="N83" s="1">
        <v>120</v>
      </c>
      <c r="O83" s="1">
        <v>120.5</v>
      </c>
      <c r="P83" s="1">
        <v>150</v>
      </c>
      <c r="Q83" s="7">
        <v>-80.349999999999994</v>
      </c>
      <c r="R83" s="2">
        <v>120.7</v>
      </c>
      <c r="S83" s="1" t="s">
        <v>16</v>
      </c>
      <c r="T83" s="4">
        <v>94436</v>
      </c>
      <c r="U83" s="4">
        <v>177975</v>
      </c>
      <c r="V83" s="4">
        <v>326175</v>
      </c>
      <c r="W83" s="2" t="s">
        <v>15</v>
      </c>
    </row>
    <row r="84" spans="1:23" ht="17" x14ac:dyDescent="0.2">
      <c r="A84" s="2" t="s">
        <v>15</v>
      </c>
      <c r="B84" s="4">
        <v>2320725</v>
      </c>
      <c r="C84" s="4">
        <v>1559100</v>
      </c>
      <c r="D84" s="4">
        <v>295776</v>
      </c>
      <c r="E84" s="1" t="s">
        <v>16</v>
      </c>
      <c r="F84" s="2">
        <v>0.8</v>
      </c>
      <c r="G84" s="7">
        <v>-1.1000000000000001</v>
      </c>
      <c r="H84" s="4">
        <v>57075</v>
      </c>
      <c r="I84" s="1">
        <v>0.8</v>
      </c>
      <c r="J84" s="1">
        <v>0.85</v>
      </c>
      <c r="K84" s="4">
        <v>62175</v>
      </c>
      <c r="L84" s="2">
        <v>13850</v>
      </c>
      <c r="M84" s="1">
        <v>75</v>
      </c>
      <c r="N84" s="1">
        <v>164.95</v>
      </c>
      <c r="O84" s="1">
        <v>166.15</v>
      </c>
      <c r="P84" s="1">
        <v>75</v>
      </c>
      <c r="Q84" s="7">
        <v>-83.15</v>
      </c>
      <c r="R84" s="2">
        <v>165.4</v>
      </c>
      <c r="S84" s="1" t="s">
        <v>16</v>
      </c>
      <c r="T84" s="4">
        <v>3477</v>
      </c>
      <c r="U84" s="4">
        <v>3075</v>
      </c>
      <c r="V84" s="4">
        <v>38550</v>
      </c>
      <c r="W84" s="2" t="s">
        <v>15</v>
      </c>
    </row>
    <row r="85" spans="1:23" ht="17" x14ac:dyDescent="0.2">
      <c r="A85" s="2" t="s">
        <v>15</v>
      </c>
      <c r="B85" s="4">
        <v>2746800</v>
      </c>
      <c r="C85" s="4">
        <v>922800</v>
      </c>
      <c r="D85" s="4">
        <v>168633</v>
      </c>
      <c r="E85" s="1" t="s">
        <v>16</v>
      </c>
      <c r="F85" s="2">
        <v>0.45</v>
      </c>
      <c r="G85" s="7">
        <v>-0.95</v>
      </c>
      <c r="H85" s="4">
        <v>98325</v>
      </c>
      <c r="I85" s="1">
        <v>0.4</v>
      </c>
      <c r="J85" s="1">
        <v>0.45</v>
      </c>
      <c r="K85" s="4">
        <v>75075</v>
      </c>
      <c r="L85" s="2">
        <v>13900</v>
      </c>
      <c r="M85" s="1">
        <v>150</v>
      </c>
      <c r="N85" s="1">
        <v>216.05</v>
      </c>
      <c r="O85" s="1">
        <v>217.15</v>
      </c>
      <c r="P85" s="1">
        <v>150</v>
      </c>
      <c r="Q85" s="7">
        <v>-83.05</v>
      </c>
      <c r="R85" s="2">
        <v>218.5</v>
      </c>
      <c r="S85" s="1" t="s">
        <v>16</v>
      </c>
      <c r="T85" s="4">
        <v>5844</v>
      </c>
      <c r="U85" s="4">
        <v>-8550</v>
      </c>
      <c r="V85" s="4">
        <v>130575</v>
      </c>
      <c r="W85" s="2" t="s">
        <v>15</v>
      </c>
    </row>
    <row r="86" spans="1:23" ht="17" x14ac:dyDescent="0.2">
      <c r="A86" s="2" t="s">
        <v>15</v>
      </c>
      <c r="B86" s="4">
        <v>696375</v>
      </c>
      <c r="C86" s="4">
        <v>279000</v>
      </c>
      <c r="D86" s="4">
        <v>53463</v>
      </c>
      <c r="E86" s="1" t="s">
        <v>16</v>
      </c>
      <c r="F86" s="2">
        <v>0.3</v>
      </c>
      <c r="G86" s="7">
        <v>-0.95</v>
      </c>
      <c r="H86" s="4">
        <v>196575</v>
      </c>
      <c r="I86" s="1">
        <v>0.3</v>
      </c>
      <c r="J86" s="1">
        <v>0.35</v>
      </c>
      <c r="K86" s="4">
        <v>112800</v>
      </c>
      <c r="L86" s="2">
        <v>13950</v>
      </c>
      <c r="M86" s="1">
        <v>375</v>
      </c>
      <c r="N86" s="1">
        <v>267.05</v>
      </c>
      <c r="O86" s="1">
        <v>268.5</v>
      </c>
      <c r="P86" s="1">
        <v>750</v>
      </c>
      <c r="Q86" s="7">
        <v>-76.3</v>
      </c>
      <c r="R86" s="2">
        <v>267.60000000000002</v>
      </c>
      <c r="S86" s="1" t="s">
        <v>16</v>
      </c>
      <c r="T86" s="1">
        <v>582</v>
      </c>
      <c r="U86" s="4">
        <v>3225</v>
      </c>
      <c r="V86" s="4">
        <v>17025</v>
      </c>
      <c r="W86" s="2" t="s">
        <v>15</v>
      </c>
    </row>
    <row r="87" spans="1:23" ht="17" x14ac:dyDescent="0.2">
      <c r="A87" s="2" t="s">
        <v>15</v>
      </c>
      <c r="B87" s="4">
        <v>4196250</v>
      </c>
      <c r="C87" s="4">
        <v>1050150</v>
      </c>
      <c r="D87" s="4">
        <v>145334</v>
      </c>
      <c r="E87" s="1" t="s">
        <v>16</v>
      </c>
      <c r="F87" s="2">
        <v>0.3</v>
      </c>
      <c r="G87" s="7">
        <v>-0.85</v>
      </c>
      <c r="H87" s="4">
        <v>703500</v>
      </c>
      <c r="I87" s="1">
        <v>0.3</v>
      </c>
      <c r="J87" s="1">
        <v>0.35</v>
      </c>
      <c r="K87" s="4">
        <v>164625</v>
      </c>
      <c r="L87" s="2">
        <v>14000</v>
      </c>
      <c r="M87" s="1">
        <v>75</v>
      </c>
      <c r="N87" s="1">
        <v>313.89999999999998</v>
      </c>
      <c r="O87" s="1">
        <v>316.5</v>
      </c>
      <c r="P87" s="1">
        <v>75</v>
      </c>
      <c r="Q87" s="7">
        <v>-77.650000000000006</v>
      </c>
      <c r="R87" s="2">
        <v>322</v>
      </c>
      <c r="S87" s="1" t="s">
        <v>16</v>
      </c>
      <c r="T87" s="4">
        <v>1692</v>
      </c>
      <c r="U87" s="4">
        <v>-5025</v>
      </c>
      <c r="V87" s="4">
        <v>42900</v>
      </c>
      <c r="W87" s="2" t="s">
        <v>15</v>
      </c>
    </row>
    <row r="88" spans="1:23" ht="17" x14ac:dyDescent="0.2">
      <c r="A88" s="2" t="s">
        <v>15</v>
      </c>
      <c r="B88" s="4">
        <v>297750</v>
      </c>
      <c r="C88" s="4">
        <v>52050</v>
      </c>
      <c r="D88" s="4">
        <v>6962</v>
      </c>
      <c r="E88" s="1" t="s">
        <v>16</v>
      </c>
      <c r="F88" s="2">
        <v>0.3</v>
      </c>
      <c r="G88" s="7">
        <v>-0.8</v>
      </c>
      <c r="H88" s="4">
        <v>8100</v>
      </c>
      <c r="I88" s="1">
        <v>0.3</v>
      </c>
      <c r="J88" s="1">
        <v>0.35</v>
      </c>
      <c r="K88" s="4">
        <v>10650</v>
      </c>
      <c r="L88" s="2">
        <v>14050</v>
      </c>
      <c r="M88" s="1">
        <v>525</v>
      </c>
      <c r="N88" s="1">
        <v>368.65</v>
      </c>
      <c r="O88" s="1">
        <v>370.95</v>
      </c>
      <c r="P88" s="1">
        <v>75</v>
      </c>
      <c r="Q88" s="7">
        <v>-32.35</v>
      </c>
      <c r="R88" s="2">
        <v>412.1</v>
      </c>
      <c r="S88" s="1" t="s">
        <v>16</v>
      </c>
      <c r="T88" s="1">
        <v>1</v>
      </c>
      <c r="U88" s="1" t="s">
        <v>16</v>
      </c>
      <c r="V88" s="4">
        <v>4950</v>
      </c>
      <c r="W88" s="2" t="s">
        <v>15</v>
      </c>
    </row>
    <row r="89" spans="1:23" ht="17" x14ac:dyDescent="0.2">
      <c r="A89" s="2" t="s">
        <v>15</v>
      </c>
      <c r="B89" s="4">
        <v>1225950</v>
      </c>
      <c r="C89" s="4">
        <v>37125</v>
      </c>
      <c r="D89" s="4">
        <v>17178</v>
      </c>
      <c r="E89" s="1" t="s">
        <v>16</v>
      </c>
      <c r="F89" s="2">
        <v>0.25</v>
      </c>
      <c r="G89" s="7">
        <v>-0.75</v>
      </c>
      <c r="H89" s="4">
        <v>20325</v>
      </c>
      <c r="I89" s="1">
        <v>0.25</v>
      </c>
      <c r="J89" s="1">
        <v>0.3</v>
      </c>
      <c r="K89" s="4">
        <v>32100</v>
      </c>
      <c r="L89" s="2">
        <v>14100</v>
      </c>
      <c r="M89" s="1">
        <v>75</v>
      </c>
      <c r="N89" s="1">
        <v>414.35</v>
      </c>
      <c r="O89" s="1">
        <v>417.75</v>
      </c>
      <c r="P89" s="1">
        <v>750</v>
      </c>
      <c r="Q89" s="7">
        <v>-64.2</v>
      </c>
      <c r="R89" s="2">
        <v>433.45</v>
      </c>
      <c r="S89" s="1" t="s">
        <v>16</v>
      </c>
      <c r="T89" s="1">
        <v>112</v>
      </c>
      <c r="U89" s="1">
        <v>-600</v>
      </c>
      <c r="V89" s="4">
        <v>9750</v>
      </c>
      <c r="W89" s="2" t="s">
        <v>15</v>
      </c>
    </row>
    <row r="90" spans="1:23" ht="17" x14ac:dyDescent="0.2">
      <c r="A90" s="2" t="s">
        <v>15</v>
      </c>
      <c r="B90" s="4">
        <v>137025</v>
      </c>
      <c r="C90" s="4">
        <v>29325</v>
      </c>
      <c r="D90" s="4">
        <v>1955</v>
      </c>
      <c r="E90" s="1" t="s">
        <v>16</v>
      </c>
      <c r="F90" s="2">
        <v>0.2</v>
      </c>
      <c r="G90" s="7">
        <v>-0.8</v>
      </c>
      <c r="H90" s="4">
        <v>16125</v>
      </c>
      <c r="I90" s="1">
        <v>0.2</v>
      </c>
      <c r="J90" s="1">
        <v>0.25</v>
      </c>
      <c r="K90" s="4">
        <v>5625</v>
      </c>
      <c r="L90" s="2">
        <v>14150</v>
      </c>
      <c r="M90" s="1">
        <v>75</v>
      </c>
      <c r="N90" s="1">
        <v>468.05</v>
      </c>
      <c r="O90" s="1">
        <v>471.35</v>
      </c>
      <c r="P90" s="1">
        <v>750</v>
      </c>
      <c r="Q90" s="3" t="s">
        <v>16</v>
      </c>
      <c r="R90" s="1" t="s">
        <v>16</v>
      </c>
      <c r="S90" s="1" t="s">
        <v>16</v>
      </c>
      <c r="T90" s="1" t="s">
        <v>16</v>
      </c>
      <c r="U90" s="1" t="s">
        <v>16</v>
      </c>
      <c r="V90" s="4">
        <v>2475</v>
      </c>
      <c r="W90" s="2" t="s">
        <v>15</v>
      </c>
    </row>
    <row r="91" spans="1:23" ht="17" x14ac:dyDescent="0.2">
      <c r="A91" s="2" t="s">
        <v>15</v>
      </c>
      <c r="B91" s="4">
        <v>1469175</v>
      </c>
      <c r="C91" s="4">
        <v>-24900</v>
      </c>
      <c r="D91" s="4">
        <v>12751</v>
      </c>
      <c r="E91" s="1" t="s">
        <v>16</v>
      </c>
      <c r="F91" s="2">
        <v>0.25</v>
      </c>
      <c r="G91" s="7">
        <v>-0.7</v>
      </c>
      <c r="H91" s="4">
        <v>111825</v>
      </c>
      <c r="I91" s="1">
        <v>0.2</v>
      </c>
      <c r="J91" s="1">
        <v>0.25</v>
      </c>
      <c r="K91" s="4">
        <v>43800</v>
      </c>
      <c r="L91" s="2">
        <v>14200</v>
      </c>
      <c r="M91" s="1">
        <v>375</v>
      </c>
      <c r="N91" s="1">
        <v>515.5</v>
      </c>
      <c r="O91" s="1">
        <v>518.4</v>
      </c>
      <c r="P91" s="1">
        <v>75</v>
      </c>
      <c r="Q91" s="7">
        <v>-80.7</v>
      </c>
      <c r="R91" s="2">
        <v>528.85</v>
      </c>
      <c r="S91" s="1" t="s">
        <v>16</v>
      </c>
      <c r="T91" s="1">
        <v>55</v>
      </c>
      <c r="U91" s="1">
        <v>300</v>
      </c>
      <c r="V91" s="4">
        <v>8325</v>
      </c>
      <c r="W91" s="2" t="s">
        <v>15</v>
      </c>
    </row>
    <row r="92" spans="1:23" ht="17" x14ac:dyDescent="0.2">
      <c r="A92" s="2" t="s">
        <v>15</v>
      </c>
      <c r="B92" s="4">
        <v>51975</v>
      </c>
      <c r="C92" s="1">
        <v>825</v>
      </c>
      <c r="D92" s="1">
        <v>595</v>
      </c>
      <c r="E92" s="1" t="s">
        <v>16</v>
      </c>
      <c r="F92" s="2">
        <v>0.2</v>
      </c>
      <c r="G92" s="7">
        <v>-0.55000000000000004</v>
      </c>
      <c r="H92" s="4">
        <v>16800</v>
      </c>
      <c r="I92" s="1">
        <v>0.15</v>
      </c>
      <c r="J92" s="1">
        <v>0.25</v>
      </c>
      <c r="K92" s="4">
        <v>1725</v>
      </c>
      <c r="L92" s="2">
        <v>14250</v>
      </c>
      <c r="M92" s="1">
        <v>75</v>
      </c>
      <c r="N92" s="1">
        <v>565.9</v>
      </c>
      <c r="O92" s="1">
        <v>569.15</v>
      </c>
      <c r="P92" s="1">
        <v>150</v>
      </c>
      <c r="Q92" s="3" t="s">
        <v>16</v>
      </c>
      <c r="R92" s="1" t="s">
        <v>16</v>
      </c>
      <c r="S92" s="1" t="s">
        <v>16</v>
      </c>
      <c r="T92" s="1" t="s">
        <v>16</v>
      </c>
      <c r="U92" s="1" t="s">
        <v>16</v>
      </c>
      <c r="V92" s="1">
        <v>375</v>
      </c>
      <c r="W92" s="2" t="s">
        <v>15</v>
      </c>
    </row>
    <row r="93" spans="1:23" ht="17" x14ac:dyDescent="0.2">
      <c r="A93" s="2" t="s">
        <v>15</v>
      </c>
      <c r="B93" s="4">
        <v>655350</v>
      </c>
      <c r="C93" s="4">
        <v>49800</v>
      </c>
      <c r="D93" s="4">
        <v>11953</v>
      </c>
      <c r="E93" s="1" t="s">
        <v>16</v>
      </c>
      <c r="F93" s="2">
        <v>0.2</v>
      </c>
      <c r="G93" s="7">
        <v>-0.6</v>
      </c>
      <c r="H93" s="4">
        <v>98550</v>
      </c>
      <c r="I93" s="1">
        <v>0.15</v>
      </c>
      <c r="J93" s="1">
        <v>0.2</v>
      </c>
      <c r="K93" s="4">
        <v>10650</v>
      </c>
      <c r="L93" s="2">
        <v>14300</v>
      </c>
      <c r="M93" s="1">
        <v>150</v>
      </c>
      <c r="N93" s="1">
        <v>617.79999999999995</v>
      </c>
      <c r="O93" s="1">
        <v>620.85</v>
      </c>
      <c r="P93" s="1">
        <v>75</v>
      </c>
      <c r="Q93" s="7">
        <v>-203.3</v>
      </c>
      <c r="R93" s="2">
        <v>620.1</v>
      </c>
      <c r="S93" s="1" t="s">
        <v>16</v>
      </c>
      <c r="T93" s="1">
        <v>1</v>
      </c>
      <c r="U93" s="1" t="s">
        <v>16</v>
      </c>
      <c r="V93" s="1">
        <v>900</v>
      </c>
      <c r="W93" s="2" t="s">
        <v>15</v>
      </c>
    </row>
    <row r="94" spans="1:23" ht="17" x14ac:dyDescent="0.2">
      <c r="A94" s="2" t="s">
        <v>15</v>
      </c>
      <c r="B94" s="4">
        <v>30525</v>
      </c>
      <c r="C94" s="4">
        <v>1650</v>
      </c>
      <c r="D94" s="1">
        <v>602</v>
      </c>
      <c r="E94" s="1" t="s">
        <v>16</v>
      </c>
      <c r="F94" s="2">
        <v>0.25</v>
      </c>
      <c r="G94" s="7">
        <v>-0.4</v>
      </c>
      <c r="H94" s="4">
        <v>7350</v>
      </c>
      <c r="I94" s="1">
        <v>0.15</v>
      </c>
      <c r="J94" s="1">
        <v>0.25</v>
      </c>
      <c r="K94" s="4">
        <v>5400</v>
      </c>
      <c r="L94" s="2">
        <v>14350</v>
      </c>
      <c r="M94" s="1">
        <v>75</v>
      </c>
      <c r="N94" s="1">
        <v>665.9</v>
      </c>
      <c r="O94" s="1">
        <v>668.8</v>
      </c>
      <c r="P94" s="1">
        <v>225</v>
      </c>
      <c r="Q94" s="3" t="s">
        <v>16</v>
      </c>
      <c r="R94" s="1" t="s">
        <v>16</v>
      </c>
      <c r="S94" s="1" t="s">
        <v>16</v>
      </c>
      <c r="T94" s="1" t="s">
        <v>16</v>
      </c>
      <c r="U94" s="1" t="s">
        <v>16</v>
      </c>
      <c r="V94" s="1">
        <v>450</v>
      </c>
      <c r="W94" s="2" t="s">
        <v>15</v>
      </c>
    </row>
    <row r="95" spans="1:23" ht="17" x14ac:dyDescent="0.2">
      <c r="A95" s="2" t="s">
        <v>15</v>
      </c>
      <c r="B95" s="4">
        <v>435450</v>
      </c>
      <c r="C95" s="4">
        <v>-86175</v>
      </c>
      <c r="D95" s="4">
        <v>4288</v>
      </c>
      <c r="E95" s="1" t="s">
        <v>16</v>
      </c>
      <c r="F95" s="2">
        <v>0.15</v>
      </c>
      <c r="G95" s="7">
        <v>-0.55000000000000004</v>
      </c>
      <c r="H95" s="4">
        <v>10575</v>
      </c>
      <c r="I95" s="1">
        <v>0.15</v>
      </c>
      <c r="J95" s="1">
        <v>0.25</v>
      </c>
      <c r="K95" s="4">
        <v>15375</v>
      </c>
      <c r="L95" s="2">
        <v>14400</v>
      </c>
      <c r="M95" s="1">
        <v>75</v>
      </c>
      <c r="N95" s="1">
        <v>715.8</v>
      </c>
      <c r="O95" s="1">
        <v>718.65</v>
      </c>
      <c r="P95" s="1">
        <v>75</v>
      </c>
      <c r="Q95" s="7">
        <v>-79</v>
      </c>
      <c r="R95" s="2">
        <v>714.75</v>
      </c>
      <c r="S95" s="1" t="s">
        <v>16</v>
      </c>
      <c r="T95" s="1">
        <v>3</v>
      </c>
      <c r="U95" s="1">
        <v>75</v>
      </c>
      <c r="V95" s="1">
        <v>375</v>
      </c>
      <c r="W95" s="2" t="s">
        <v>15</v>
      </c>
    </row>
    <row r="96" spans="1:23" ht="17" x14ac:dyDescent="0.2">
      <c r="A96" s="2" t="s">
        <v>15</v>
      </c>
      <c r="B96" s="4">
        <v>22500</v>
      </c>
      <c r="C96" s="4">
        <v>3150</v>
      </c>
      <c r="D96" s="1">
        <v>273</v>
      </c>
      <c r="E96" s="1" t="s">
        <v>16</v>
      </c>
      <c r="F96" s="2">
        <v>0.1</v>
      </c>
      <c r="G96" s="7">
        <v>-0.45</v>
      </c>
      <c r="H96" s="4">
        <v>43875</v>
      </c>
      <c r="I96" s="1">
        <v>0.05</v>
      </c>
      <c r="J96" s="1">
        <v>0.2</v>
      </c>
      <c r="K96" s="4">
        <v>1275</v>
      </c>
      <c r="L96" s="2">
        <v>14450</v>
      </c>
      <c r="M96" s="1">
        <v>75</v>
      </c>
      <c r="N96" s="1">
        <v>766.3</v>
      </c>
      <c r="O96" s="1">
        <v>769.55</v>
      </c>
      <c r="P96" s="1">
        <v>75</v>
      </c>
      <c r="Q96" s="3" t="s">
        <v>16</v>
      </c>
      <c r="R96" s="1" t="s">
        <v>16</v>
      </c>
      <c r="S96" s="1" t="s">
        <v>16</v>
      </c>
      <c r="T96" s="1" t="s">
        <v>16</v>
      </c>
      <c r="U96" s="1" t="s">
        <v>16</v>
      </c>
      <c r="V96" s="1" t="s">
        <v>16</v>
      </c>
      <c r="W96" s="2" t="s">
        <v>15</v>
      </c>
    </row>
    <row r="97" spans="1:23" ht="17" x14ac:dyDescent="0.2">
      <c r="A97" s="2" t="s">
        <v>15</v>
      </c>
      <c r="B97" s="4">
        <v>1181625</v>
      </c>
      <c r="C97" s="4">
        <v>71625</v>
      </c>
      <c r="D97" s="4">
        <v>18907</v>
      </c>
      <c r="E97" s="1" t="s">
        <v>16</v>
      </c>
      <c r="F97" s="2">
        <v>0.15</v>
      </c>
      <c r="G97" s="7">
        <v>-0.5</v>
      </c>
      <c r="H97" s="4">
        <v>751500</v>
      </c>
      <c r="I97" s="1">
        <v>0.1</v>
      </c>
      <c r="J97" s="1">
        <v>0.15</v>
      </c>
      <c r="K97" s="4">
        <v>142725</v>
      </c>
      <c r="L97" s="2">
        <v>14500</v>
      </c>
      <c r="M97" s="1">
        <v>75</v>
      </c>
      <c r="N97" s="1">
        <v>814.8</v>
      </c>
      <c r="O97" s="1">
        <v>818.65</v>
      </c>
      <c r="P97" s="1">
        <v>75</v>
      </c>
      <c r="Q97" s="7">
        <v>-76.2</v>
      </c>
      <c r="R97" s="2">
        <v>791.65</v>
      </c>
      <c r="S97" s="1" t="s">
        <v>16</v>
      </c>
      <c r="T97" s="1">
        <v>11</v>
      </c>
      <c r="U97" s="1" t="s">
        <v>16</v>
      </c>
      <c r="V97" s="4">
        <v>1050</v>
      </c>
      <c r="W97" s="2" t="s">
        <v>15</v>
      </c>
    </row>
    <row r="98" spans="1:23" ht="17" x14ac:dyDescent="0.2">
      <c r="A98" s="2" t="s">
        <v>15</v>
      </c>
      <c r="B98" s="4">
        <v>4725</v>
      </c>
      <c r="C98" s="1">
        <v>-525</v>
      </c>
      <c r="D98" s="1">
        <v>41</v>
      </c>
      <c r="E98" s="1" t="s">
        <v>16</v>
      </c>
      <c r="F98" s="2">
        <v>0.05</v>
      </c>
      <c r="G98" s="7">
        <v>-0.6</v>
      </c>
      <c r="H98" s="4">
        <v>8925</v>
      </c>
      <c r="I98" s="1">
        <v>0.05</v>
      </c>
      <c r="J98" s="1">
        <v>0.15</v>
      </c>
      <c r="K98" s="1">
        <v>150</v>
      </c>
      <c r="L98" s="2">
        <v>14550</v>
      </c>
      <c r="M98" s="4">
        <v>4875</v>
      </c>
      <c r="N98" s="1">
        <v>850.4</v>
      </c>
      <c r="O98" s="1">
        <v>904.95</v>
      </c>
      <c r="P98" s="4">
        <v>1725</v>
      </c>
      <c r="Q98" s="3" t="s">
        <v>16</v>
      </c>
      <c r="R98" s="1" t="s">
        <v>16</v>
      </c>
      <c r="S98" s="1" t="s">
        <v>16</v>
      </c>
      <c r="T98" s="1" t="s">
        <v>16</v>
      </c>
      <c r="U98" s="1" t="s">
        <v>16</v>
      </c>
      <c r="V98" s="1" t="s">
        <v>16</v>
      </c>
      <c r="W98" s="2" t="s">
        <v>15</v>
      </c>
    </row>
    <row r="99" spans="1:23" ht="17" x14ac:dyDescent="0.2">
      <c r="A99" s="2" t="s">
        <v>15</v>
      </c>
      <c r="B99" s="4">
        <v>329625</v>
      </c>
      <c r="C99" s="1">
        <v>-150</v>
      </c>
      <c r="D99" s="4">
        <v>2505</v>
      </c>
      <c r="E99" s="1" t="s">
        <v>16</v>
      </c>
      <c r="F99" s="2">
        <v>0.15</v>
      </c>
      <c r="G99" s="7">
        <v>-0.4</v>
      </c>
      <c r="H99" s="4">
        <v>14925</v>
      </c>
      <c r="I99" s="1">
        <v>0.1</v>
      </c>
      <c r="J99" s="1">
        <v>0.15</v>
      </c>
      <c r="K99" s="4">
        <v>6825</v>
      </c>
      <c r="L99" s="2">
        <v>14600</v>
      </c>
      <c r="M99" s="1">
        <v>75</v>
      </c>
      <c r="N99" s="1">
        <v>900.6</v>
      </c>
      <c r="O99" s="1">
        <v>950.65</v>
      </c>
      <c r="P99" s="1">
        <v>75</v>
      </c>
      <c r="Q99" s="3" t="s">
        <v>16</v>
      </c>
      <c r="R99" s="1" t="s">
        <v>16</v>
      </c>
      <c r="S99" s="1" t="s">
        <v>16</v>
      </c>
      <c r="T99" s="1" t="s">
        <v>16</v>
      </c>
      <c r="U99" s="1" t="s">
        <v>16</v>
      </c>
      <c r="V99" s="1">
        <v>825</v>
      </c>
      <c r="W99" s="2" t="s">
        <v>15</v>
      </c>
    </row>
    <row r="100" spans="1:23" ht="17" x14ac:dyDescent="0.2">
      <c r="A100" s="2" t="s">
        <v>15</v>
      </c>
      <c r="B100" s="4">
        <v>2550</v>
      </c>
      <c r="C100" s="1">
        <v>75</v>
      </c>
      <c r="D100" s="1">
        <v>39</v>
      </c>
      <c r="E100" s="1" t="s">
        <v>16</v>
      </c>
      <c r="F100" s="2">
        <v>0.05</v>
      </c>
      <c r="G100" s="7">
        <v>-0.45</v>
      </c>
      <c r="H100" s="4">
        <v>14325</v>
      </c>
      <c r="I100" s="1">
        <v>0.05</v>
      </c>
      <c r="J100" s="1">
        <v>0.25</v>
      </c>
      <c r="K100" s="1">
        <v>600</v>
      </c>
      <c r="L100" s="2">
        <v>14650</v>
      </c>
      <c r="M100" s="4">
        <v>4875</v>
      </c>
      <c r="N100" s="1">
        <v>950.4</v>
      </c>
      <c r="O100" s="5">
        <v>1004.9</v>
      </c>
      <c r="P100" s="4">
        <v>1725</v>
      </c>
      <c r="Q100" s="3" t="s">
        <v>16</v>
      </c>
      <c r="R100" s="1" t="s">
        <v>16</v>
      </c>
      <c r="S100" s="1" t="s">
        <v>16</v>
      </c>
      <c r="T100" s="1" t="s">
        <v>16</v>
      </c>
      <c r="U100" s="1" t="s">
        <v>16</v>
      </c>
      <c r="V100" s="1" t="s">
        <v>16</v>
      </c>
      <c r="W100" s="2" t="s">
        <v>15</v>
      </c>
    </row>
    <row r="101" spans="1:23" ht="17" x14ac:dyDescent="0.2">
      <c r="A101" s="2" t="s">
        <v>15</v>
      </c>
      <c r="B101" s="4">
        <v>136650</v>
      </c>
      <c r="C101" s="4">
        <v>8700</v>
      </c>
      <c r="D101" s="4">
        <v>1496</v>
      </c>
      <c r="E101" s="1" t="s">
        <v>16</v>
      </c>
      <c r="F101" s="2">
        <v>0.2</v>
      </c>
      <c r="G101" s="7">
        <v>-0.35</v>
      </c>
      <c r="H101" s="4">
        <v>9075</v>
      </c>
      <c r="I101" s="1">
        <v>0.1</v>
      </c>
      <c r="J101" s="1">
        <v>0.2</v>
      </c>
      <c r="K101" s="1">
        <v>75</v>
      </c>
      <c r="L101" s="2">
        <v>14700</v>
      </c>
      <c r="M101" s="4">
        <v>4875</v>
      </c>
      <c r="N101" s="5">
        <v>1000.4</v>
      </c>
      <c r="O101" s="5">
        <v>1054.9000000000001</v>
      </c>
      <c r="P101" s="4">
        <v>1725</v>
      </c>
      <c r="Q101" s="3" t="s">
        <v>16</v>
      </c>
      <c r="R101" s="1" t="s">
        <v>16</v>
      </c>
      <c r="S101" s="1" t="s">
        <v>16</v>
      </c>
      <c r="T101" s="1" t="s">
        <v>16</v>
      </c>
      <c r="U101" s="1" t="s">
        <v>16</v>
      </c>
      <c r="V101" s="1">
        <v>75</v>
      </c>
      <c r="W101" s="2" t="s">
        <v>15</v>
      </c>
    </row>
    <row r="102" spans="1:23" ht="17" x14ac:dyDescent="0.2">
      <c r="A102" s="2" t="s">
        <v>15</v>
      </c>
      <c r="B102" s="4">
        <v>1425</v>
      </c>
      <c r="C102" s="1" t="s">
        <v>16</v>
      </c>
      <c r="D102" s="1">
        <v>18</v>
      </c>
      <c r="E102" s="1" t="s">
        <v>16</v>
      </c>
      <c r="F102" s="2">
        <v>0.1</v>
      </c>
      <c r="G102" s="7">
        <v>-0.3</v>
      </c>
      <c r="H102" s="4">
        <v>4500</v>
      </c>
      <c r="I102" s="1">
        <v>0.05</v>
      </c>
      <c r="J102" s="1">
        <v>0.2</v>
      </c>
      <c r="K102" s="1">
        <v>750</v>
      </c>
      <c r="L102" s="2">
        <v>14750</v>
      </c>
      <c r="M102" s="4">
        <v>4875</v>
      </c>
      <c r="N102" s="5">
        <v>1050.4000000000001</v>
      </c>
      <c r="O102" s="5">
        <v>1104.9000000000001</v>
      </c>
      <c r="P102" s="4">
        <v>1725</v>
      </c>
      <c r="Q102" s="3" t="s">
        <v>16</v>
      </c>
      <c r="R102" s="1" t="s">
        <v>16</v>
      </c>
      <c r="S102" s="1" t="s">
        <v>16</v>
      </c>
      <c r="T102" s="1" t="s">
        <v>16</v>
      </c>
      <c r="U102" s="1" t="s">
        <v>16</v>
      </c>
      <c r="V102" s="1" t="s">
        <v>16</v>
      </c>
      <c r="W102" s="2" t="s">
        <v>15</v>
      </c>
    </row>
    <row r="103" spans="1:23" ht="17" x14ac:dyDescent="0.2">
      <c r="A103" s="2" t="s">
        <v>15</v>
      </c>
      <c r="B103" s="4">
        <v>131775</v>
      </c>
      <c r="C103" s="4">
        <v>23325</v>
      </c>
      <c r="D103" s="4">
        <v>5983</v>
      </c>
      <c r="E103" s="1" t="s">
        <v>16</v>
      </c>
      <c r="F103" s="2">
        <v>0.1</v>
      </c>
      <c r="G103" s="7">
        <v>-0.45</v>
      </c>
      <c r="H103" s="4">
        <v>8625</v>
      </c>
      <c r="I103" s="1">
        <v>0.1</v>
      </c>
      <c r="J103" s="1">
        <v>0.15</v>
      </c>
      <c r="K103" s="4">
        <v>4275</v>
      </c>
      <c r="L103" s="2">
        <v>14800</v>
      </c>
      <c r="M103" s="4">
        <v>4875</v>
      </c>
      <c r="N103" s="5">
        <v>1100.45</v>
      </c>
      <c r="O103" s="5">
        <v>1154.9000000000001</v>
      </c>
      <c r="P103" s="4">
        <v>1725</v>
      </c>
      <c r="Q103" s="3" t="s">
        <v>16</v>
      </c>
      <c r="R103" s="1" t="s">
        <v>16</v>
      </c>
      <c r="S103" s="1" t="s">
        <v>16</v>
      </c>
      <c r="T103" s="1" t="s">
        <v>16</v>
      </c>
      <c r="U103" s="1" t="s">
        <v>16</v>
      </c>
      <c r="V103" s="1">
        <v>150</v>
      </c>
      <c r="W103" s="2" t="s">
        <v>15</v>
      </c>
    </row>
    <row r="104" spans="1:23" ht="17" x14ac:dyDescent="0.2">
      <c r="A104" s="2" t="s">
        <v>15</v>
      </c>
      <c r="B104" s="4">
        <v>5550</v>
      </c>
      <c r="C104" s="4">
        <v>4500</v>
      </c>
      <c r="D104" s="1">
        <v>103</v>
      </c>
      <c r="E104" s="1" t="s">
        <v>16</v>
      </c>
      <c r="F104" s="2">
        <v>0.2</v>
      </c>
      <c r="G104" s="7">
        <v>-0.2</v>
      </c>
      <c r="H104" s="1">
        <v>75</v>
      </c>
      <c r="I104" s="1">
        <v>0.15</v>
      </c>
      <c r="J104" s="1">
        <v>0.35</v>
      </c>
      <c r="K104" s="1">
        <v>600</v>
      </c>
      <c r="L104" s="2">
        <v>14850</v>
      </c>
      <c r="M104" s="4">
        <v>4875</v>
      </c>
      <c r="N104" s="5">
        <v>1150.45</v>
      </c>
      <c r="O104" s="5">
        <v>1204.9000000000001</v>
      </c>
      <c r="P104" s="4">
        <v>1725</v>
      </c>
      <c r="Q104" s="3" t="s">
        <v>16</v>
      </c>
      <c r="R104" s="1" t="s">
        <v>16</v>
      </c>
      <c r="S104" s="1" t="s">
        <v>16</v>
      </c>
      <c r="T104" s="1" t="s">
        <v>16</v>
      </c>
      <c r="U104" s="1" t="s">
        <v>16</v>
      </c>
      <c r="V104" s="1" t="s">
        <v>16</v>
      </c>
      <c r="W104" s="2" t="s">
        <v>15</v>
      </c>
    </row>
    <row r="105" spans="1:23" ht="17" x14ac:dyDescent="0.2">
      <c r="A105" s="2" t="s">
        <v>15</v>
      </c>
      <c r="B105" s="4">
        <v>57600</v>
      </c>
      <c r="C105" s="4">
        <v>16425</v>
      </c>
      <c r="D105" s="4">
        <v>1157</v>
      </c>
      <c r="E105" s="1" t="s">
        <v>16</v>
      </c>
      <c r="F105" s="2">
        <v>0.15</v>
      </c>
      <c r="G105" s="7">
        <v>-0.25</v>
      </c>
      <c r="H105" s="4">
        <v>14925</v>
      </c>
      <c r="I105" s="1">
        <v>0.05</v>
      </c>
      <c r="J105" s="1">
        <v>0.15</v>
      </c>
      <c r="K105" s="1">
        <v>450</v>
      </c>
      <c r="L105" s="2">
        <v>14900</v>
      </c>
      <c r="M105" s="4">
        <v>4875</v>
      </c>
      <c r="N105" s="5">
        <v>1200.45</v>
      </c>
      <c r="O105" s="5">
        <v>1254.95</v>
      </c>
      <c r="P105" s="4">
        <v>1725</v>
      </c>
      <c r="Q105" s="3" t="s">
        <v>16</v>
      </c>
      <c r="R105" s="1" t="s">
        <v>16</v>
      </c>
      <c r="S105" s="1" t="s">
        <v>16</v>
      </c>
      <c r="T105" s="1" t="s">
        <v>16</v>
      </c>
      <c r="U105" s="1" t="s">
        <v>16</v>
      </c>
      <c r="V105" s="1">
        <v>150</v>
      </c>
      <c r="W105" s="2" t="s">
        <v>15</v>
      </c>
    </row>
    <row r="106" spans="1:23" ht="17" x14ac:dyDescent="0.2">
      <c r="A106" s="2" t="s">
        <v>15</v>
      </c>
      <c r="B106" s="4">
        <v>2400</v>
      </c>
      <c r="C106" s="4">
        <v>-1125</v>
      </c>
      <c r="D106" s="1">
        <v>37</v>
      </c>
      <c r="E106" s="1" t="s">
        <v>16</v>
      </c>
      <c r="F106" s="2">
        <v>0.1</v>
      </c>
      <c r="G106" s="7">
        <v>-0.3</v>
      </c>
      <c r="H106" s="1">
        <v>75</v>
      </c>
      <c r="I106" s="1">
        <v>0.1</v>
      </c>
      <c r="J106" s="1">
        <v>0.25</v>
      </c>
      <c r="K106" s="4">
        <v>4800</v>
      </c>
      <c r="L106" s="2">
        <v>14950</v>
      </c>
      <c r="M106" s="4">
        <v>4875</v>
      </c>
      <c r="N106" s="5">
        <v>1250.45</v>
      </c>
      <c r="O106" s="5">
        <v>1304.9000000000001</v>
      </c>
      <c r="P106" s="4">
        <v>1725</v>
      </c>
      <c r="Q106" s="3" t="s">
        <v>16</v>
      </c>
      <c r="R106" s="1" t="s">
        <v>16</v>
      </c>
      <c r="S106" s="1" t="s">
        <v>16</v>
      </c>
      <c r="T106" s="1" t="s">
        <v>16</v>
      </c>
      <c r="U106" s="1" t="s">
        <v>16</v>
      </c>
      <c r="V106" s="1">
        <v>75</v>
      </c>
      <c r="W106" s="2" t="s">
        <v>15</v>
      </c>
    </row>
    <row r="107" spans="1:23" ht="17" x14ac:dyDescent="0.2">
      <c r="A107" s="2" t="s">
        <v>15</v>
      </c>
      <c r="B107" s="4">
        <v>881850</v>
      </c>
      <c r="C107" s="4">
        <v>-92850</v>
      </c>
      <c r="D107" s="4">
        <v>7769</v>
      </c>
      <c r="E107" s="1" t="s">
        <v>16</v>
      </c>
      <c r="F107" s="2">
        <v>0.1</v>
      </c>
      <c r="G107" s="7">
        <v>-0.5</v>
      </c>
      <c r="H107" s="4">
        <v>3975</v>
      </c>
      <c r="I107" s="1">
        <v>0.1</v>
      </c>
      <c r="J107" s="1">
        <v>0.15</v>
      </c>
      <c r="K107" s="4">
        <v>27075</v>
      </c>
      <c r="L107" s="2">
        <v>15000</v>
      </c>
      <c r="M107" s="1">
        <v>75</v>
      </c>
      <c r="N107" s="5">
        <v>1300.5999999999999</v>
      </c>
      <c r="O107" s="5">
        <v>1353</v>
      </c>
      <c r="P107" s="1">
        <v>75</v>
      </c>
      <c r="Q107" s="3" t="s">
        <v>16</v>
      </c>
      <c r="R107" s="1" t="s">
        <v>16</v>
      </c>
      <c r="S107" s="1" t="s">
        <v>16</v>
      </c>
      <c r="T107" s="1" t="s">
        <v>16</v>
      </c>
      <c r="U107" s="1" t="s">
        <v>16</v>
      </c>
      <c r="V107" s="1">
        <v>525</v>
      </c>
      <c r="W107" s="2" t="s">
        <v>15</v>
      </c>
    </row>
    <row r="108" spans="1:23" ht="17" x14ac:dyDescent="0.2">
      <c r="A108" s="2" t="s">
        <v>15</v>
      </c>
      <c r="B108" s="4">
        <v>6150</v>
      </c>
      <c r="C108" s="4">
        <v>3375</v>
      </c>
      <c r="D108" s="1">
        <v>89</v>
      </c>
      <c r="E108" s="1" t="s">
        <v>16</v>
      </c>
      <c r="F108" s="2">
        <v>0.1</v>
      </c>
      <c r="G108" s="7">
        <v>-0.2</v>
      </c>
      <c r="H108" s="1">
        <v>675</v>
      </c>
      <c r="I108" s="1">
        <v>0.1</v>
      </c>
      <c r="J108" s="1">
        <v>0.3</v>
      </c>
      <c r="K108" s="1">
        <v>675</v>
      </c>
      <c r="L108" s="2">
        <v>15050</v>
      </c>
      <c r="M108" s="4">
        <v>4875</v>
      </c>
      <c r="N108" s="5">
        <v>1350.45</v>
      </c>
      <c r="O108" s="5">
        <v>1405.05</v>
      </c>
      <c r="P108" s="4">
        <v>1725</v>
      </c>
      <c r="Q108" s="3" t="s">
        <v>16</v>
      </c>
      <c r="R108" s="1" t="s">
        <v>16</v>
      </c>
      <c r="S108" s="1" t="s">
        <v>16</v>
      </c>
      <c r="T108" s="1" t="s">
        <v>16</v>
      </c>
      <c r="U108" s="1" t="s">
        <v>16</v>
      </c>
      <c r="V108" s="1" t="s">
        <v>16</v>
      </c>
      <c r="W108" s="2" t="s">
        <v>15</v>
      </c>
    </row>
    <row r="109" spans="1:23" ht="17" x14ac:dyDescent="0.2">
      <c r="A109" s="2" t="s">
        <v>15</v>
      </c>
      <c r="B109" s="4">
        <v>82650</v>
      </c>
      <c r="C109" s="4">
        <v>15225</v>
      </c>
      <c r="D109" s="4">
        <v>3724</v>
      </c>
      <c r="E109" s="1" t="s">
        <v>16</v>
      </c>
      <c r="F109" s="2">
        <v>0.05</v>
      </c>
      <c r="G109" s="7">
        <v>-0.3</v>
      </c>
      <c r="H109" s="4">
        <v>13350</v>
      </c>
      <c r="I109" s="1">
        <v>0.1</v>
      </c>
      <c r="J109" s="1">
        <v>0.15</v>
      </c>
      <c r="K109" s="4">
        <v>14175</v>
      </c>
      <c r="L109" s="2">
        <v>15100</v>
      </c>
      <c r="M109" s="4">
        <v>1725</v>
      </c>
      <c r="N109" s="5">
        <v>1353.05</v>
      </c>
      <c r="O109" s="5">
        <v>1510.7</v>
      </c>
      <c r="P109" s="4">
        <v>6600</v>
      </c>
      <c r="Q109" s="3" t="s">
        <v>16</v>
      </c>
      <c r="R109" s="1" t="s">
        <v>16</v>
      </c>
      <c r="S109" s="1" t="s">
        <v>16</v>
      </c>
      <c r="T109" s="1" t="s">
        <v>16</v>
      </c>
      <c r="U109" s="1" t="s">
        <v>16</v>
      </c>
      <c r="V109" s="1">
        <v>75</v>
      </c>
      <c r="W109" s="2" t="s">
        <v>15</v>
      </c>
    </row>
    <row r="110" spans="1:23" ht="17" x14ac:dyDescent="0.2">
      <c r="A110" s="2" t="s">
        <v>15</v>
      </c>
      <c r="B110" s="4">
        <v>1725</v>
      </c>
      <c r="C110" s="1">
        <v>-75</v>
      </c>
      <c r="D110" s="1">
        <v>971</v>
      </c>
      <c r="E110" s="1" t="s">
        <v>16</v>
      </c>
      <c r="F110" s="2">
        <v>0.05</v>
      </c>
      <c r="G110" s="7">
        <v>-0.45</v>
      </c>
      <c r="H110" s="4">
        <v>6300</v>
      </c>
      <c r="I110" s="1">
        <v>0.05</v>
      </c>
      <c r="J110" s="1">
        <v>0.2</v>
      </c>
      <c r="K110" s="1">
        <v>75</v>
      </c>
      <c r="L110" s="2">
        <v>15150</v>
      </c>
      <c r="M110" s="4">
        <v>1725</v>
      </c>
      <c r="N110" s="5">
        <v>1399.1</v>
      </c>
      <c r="O110" s="5">
        <v>1563.15</v>
      </c>
      <c r="P110" s="4">
        <v>1725</v>
      </c>
      <c r="Q110" s="3" t="s">
        <v>16</v>
      </c>
      <c r="R110" s="1" t="s">
        <v>16</v>
      </c>
      <c r="S110" s="1" t="s">
        <v>16</v>
      </c>
      <c r="T110" s="1" t="s">
        <v>16</v>
      </c>
      <c r="U110" s="1" t="s">
        <v>16</v>
      </c>
      <c r="V110" s="1">
        <v>75</v>
      </c>
      <c r="W110" s="2" t="s">
        <v>15</v>
      </c>
    </row>
    <row r="111" spans="1:23" ht="17" x14ac:dyDescent="0.2">
      <c r="A111" s="2" t="s">
        <v>15</v>
      </c>
      <c r="B111" s="4">
        <v>128025</v>
      </c>
      <c r="C111" s="4">
        <v>6750</v>
      </c>
      <c r="D111" s="4">
        <v>1900</v>
      </c>
      <c r="E111" s="1" t="s">
        <v>16</v>
      </c>
      <c r="F111" s="2">
        <v>0.1</v>
      </c>
      <c r="G111" s="7">
        <v>-0.1</v>
      </c>
      <c r="H111" s="4">
        <v>7800</v>
      </c>
      <c r="I111" s="1">
        <v>0.05</v>
      </c>
      <c r="J111" s="1">
        <v>0.1</v>
      </c>
      <c r="K111" s="4">
        <v>9975</v>
      </c>
      <c r="L111" s="2">
        <v>15200</v>
      </c>
      <c r="M111" s="4">
        <v>1725</v>
      </c>
      <c r="N111" s="5">
        <v>1463.05</v>
      </c>
      <c r="O111" s="5">
        <v>1590</v>
      </c>
      <c r="P111" s="4">
        <v>1725</v>
      </c>
      <c r="Q111" s="3" t="s">
        <v>16</v>
      </c>
      <c r="R111" s="1" t="s">
        <v>16</v>
      </c>
      <c r="S111" s="1" t="s">
        <v>16</v>
      </c>
      <c r="T111" s="1" t="s">
        <v>16</v>
      </c>
      <c r="U111" s="1" t="s">
        <v>16</v>
      </c>
      <c r="V111" s="1" t="s">
        <v>16</v>
      </c>
      <c r="W111" s="2" t="s">
        <v>15</v>
      </c>
    </row>
    <row r="112" spans="1:23" ht="17" x14ac:dyDescent="0.2">
      <c r="A112" s="2" t="s">
        <v>15</v>
      </c>
      <c r="B112" s="4">
        <v>82050</v>
      </c>
      <c r="C112" s="4">
        <v>-5700</v>
      </c>
      <c r="D112" s="4">
        <v>1260</v>
      </c>
      <c r="E112" s="1" t="s">
        <v>16</v>
      </c>
      <c r="F112" s="2">
        <v>0.05</v>
      </c>
      <c r="G112" s="7">
        <v>-0.1</v>
      </c>
      <c r="H112" s="4">
        <v>2625</v>
      </c>
      <c r="I112" s="1">
        <v>0.05</v>
      </c>
      <c r="J112" s="1">
        <v>0.1</v>
      </c>
      <c r="K112" s="4">
        <v>15150</v>
      </c>
      <c r="L112" s="2">
        <v>15250</v>
      </c>
      <c r="M112" s="4">
        <v>1725</v>
      </c>
      <c r="N112" s="5">
        <v>1517.1</v>
      </c>
      <c r="O112" s="5">
        <v>1617.75</v>
      </c>
      <c r="P112" s="4">
        <v>1725</v>
      </c>
      <c r="Q112" s="3" t="s">
        <v>16</v>
      </c>
      <c r="R112" s="1" t="s">
        <v>16</v>
      </c>
      <c r="S112" s="1" t="s">
        <v>16</v>
      </c>
      <c r="T112" s="1" t="s">
        <v>16</v>
      </c>
      <c r="U112" s="1" t="s">
        <v>16</v>
      </c>
      <c r="V112" s="1" t="s">
        <v>16</v>
      </c>
      <c r="W112" s="2" t="s">
        <v>15</v>
      </c>
    </row>
    <row r="113" spans="1:23" x14ac:dyDescent="0.2">
      <c r="A113" s="10" t="s">
        <v>17</v>
      </c>
      <c r="B113" s="11">
        <v>42163425</v>
      </c>
      <c r="C113" s="10"/>
      <c r="D113" s="11">
        <v>4277224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11">
        <v>5372688</v>
      </c>
      <c r="U113" s="10"/>
      <c r="V113" s="11">
        <v>45190650</v>
      </c>
      <c r="W113" s="10" t="s">
        <v>17</v>
      </c>
    </row>
    <row r="115" spans="1:23" ht="17" x14ac:dyDescent="0.2">
      <c r="A115" s="12" t="s">
        <v>18</v>
      </c>
    </row>
  </sheetData>
  <mergeCells count="20">
    <mergeCell ref="Q8:Q9"/>
    <mergeCell ref="R8:R9"/>
    <mergeCell ref="S8:S9"/>
    <mergeCell ref="T8:T9"/>
    <mergeCell ref="E113:S113"/>
    <mergeCell ref="A1:A2"/>
    <mergeCell ref="B1:B2"/>
    <mergeCell ref="A7:K7"/>
    <mergeCell ref="M7:W7"/>
    <mergeCell ref="A8:A9"/>
    <mergeCell ref="B8:B9"/>
    <mergeCell ref="C8:C9"/>
    <mergeCell ref="D8:D9"/>
    <mergeCell ref="E8:E9"/>
    <mergeCell ref="F8:F9"/>
    <mergeCell ref="U8:U9"/>
    <mergeCell ref="V8:V9"/>
    <mergeCell ref="W8:W9"/>
    <mergeCell ref="G8:G9"/>
    <mergeCell ref="L8:L9"/>
  </mergeCells>
  <hyperlinks>
    <hyperlink ref="A10" r:id="rId1" display="javascript:chartPopup('NIFTY', 'OPTIDX', '24DEC2020', '10150.00','CE','NIFTY 50');" xr:uid="{D2151BB4-35A2-5744-8A49-D2D152BF1EC0}"/>
    <hyperlink ref="F10" r:id="rId2" display="/live_market/dynaContent/live_watch/get_quote/GetQuoteFO.jsp?underlying=NIFTY&amp;instrument=OPTIDX&amp;strike=10150.00&amp;type=CE&amp;expiry=24DEC2020" xr:uid="{373D6645-97FC-8A4B-977E-3D74E9C7CF52}"/>
    <hyperlink ref="L10" r:id="rId3" display="/live_market/dynaContent/live_watch/option_chain/optionDates.jsp?symbol=NIFTY&amp;instrument=OPTIDX&amp;strike=10150.00" xr:uid="{C1AFAC68-8972-4549-B658-7026FB7B7EC6}"/>
    <hyperlink ref="R10" r:id="rId4" display="/live_market/dynaContent/live_watch/get_quote/GetQuoteFO.jsp?underlying=NIFTY&amp;instrument=OPTIDX&amp;strike=10150.00&amp;type=PE&amp;expiry=24DEC2020" xr:uid="{E9638699-98C9-9D4E-96E7-1190AA2A23BA}"/>
    <hyperlink ref="W10" r:id="rId5" display="javascript:chartPopup('NIFTY', 'OPTIDX', '24DEC2020', '10150.00','PE','NIFTY 50');" xr:uid="{841FDBF6-24DC-0948-AE77-19F00FC4BDB6}"/>
    <hyperlink ref="A11" r:id="rId6" display="javascript:chartPopup('NIFTY', 'OPTIDX', '24DEC2020', '10200.00','CE','NIFTY 50');" xr:uid="{7B862B19-8D43-2549-ABBE-CDF9141AD53D}"/>
    <hyperlink ref="F11" r:id="rId7" display="/live_market/dynaContent/live_watch/get_quote/GetQuoteFO.jsp?underlying=NIFTY&amp;instrument=OPTIDX&amp;strike=10200.00&amp;type=CE&amp;expiry=24DEC2020" xr:uid="{3295202D-4AB5-C243-84BB-0168919B730B}"/>
    <hyperlink ref="L11" r:id="rId8" display="/live_market/dynaContent/live_watch/option_chain/optionDates.jsp?symbol=NIFTY&amp;instrument=OPTIDX&amp;strike=10200.00" xr:uid="{0742A6F5-88FB-714D-A745-3176B5DC5718}"/>
    <hyperlink ref="R11" r:id="rId9" display="/live_market/dynaContent/live_watch/get_quote/GetQuoteFO.jsp?underlying=NIFTY&amp;instrument=OPTIDX&amp;strike=10200.00&amp;type=PE&amp;expiry=24DEC2020" xr:uid="{CA1D2CC7-B45B-5F41-8B01-7EF1EC0FA0E4}"/>
    <hyperlink ref="W11" r:id="rId10" display="javascript:chartPopup('NIFTY', 'OPTIDX', '24DEC2020', '10200.00','PE','NIFTY 50');" xr:uid="{6DCA6B10-1D98-284E-8B52-AFAC890CCA4A}"/>
    <hyperlink ref="A12" r:id="rId11" display="javascript:chartPopup('NIFTY', 'OPTIDX', '24DEC2020', '10250.00','CE','NIFTY 50');" xr:uid="{85B0D9FF-1FC5-E141-9EA5-CE80D2BE1522}"/>
    <hyperlink ref="L12" r:id="rId12" display="/live_market/dynaContent/live_watch/option_chain/optionDates.jsp?symbol=NIFTY&amp;instrument=OPTIDX&amp;strike=10250.00" xr:uid="{840CE4E4-01A4-1F41-9AF7-EDA27733866E}"/>
    <hyperlink ref="R12" r:id="rId13" display="/live_market/dynaContent/live_watch/get_quote/GetQuoteFO.jsp?underlying=NIFTY&amp;instrument=OPTIDX&amp;strike=10250.00&amp;type=PE&amp;expiry=24DEC2020" xr:uid="{4B6A8FD1-F29A-0548-915B-9A519AD3BA7F}"/>
    <hyperlink ref="W12" r:id="rId14" display="javascript:chartPopup('NIFTY', 'OPTIDX', '24DEC2020', '10250.00','PE','NIFTY 50');" xr:uid="{39A258DE-F1E5-5A41-A34F-E08415E90AF0}"/>
    <hyperlink ref="A13" r:id="rId15" display="javascript:chartPopup('NIFTY', 'OPTIDX', '24DEC2020', '10300.00','CE','NIFTY 50');" xr:uid="{33EE7420-1CC3-ED40-AAF7-EC729C982155}"/>
    <hyperlink ref="L13" r:id="rId16" display="/live_market/dynaContent/live_watch/option_chain/optionDates.jsp?symbol=NIFTY&amp;instrument=OPTIDX&amp;strike=10300.00" xr:uid="{21F49C7A-7545-434F-8AEB-A9E790D301B1}"/>
    <hyperlink ref="R13" r:id="rId17" display="/live_market/dynaContent/live_watch/get_quote/GetQuoteFO.jsp?underlying=NIFTY&amp;instrument=OPTIDX&amp;strike=10300.00&amp;type=PE&amp;expiry=24DEC2020" xr:uid="{3BF1233E-C22B-AE4A-BD0C-698631DDCE7B}"/>
    <hyperlink ref="W13" r:id="rId18" display="javascript:chartPopup('NIFTY', 'OPTIDX', '24DEC2020', '10300.00','PE','NIFTY 50');" xr:uid="{7440B8A4-B45E-244B-A97C-4851982E68BE}"/>
    <hyperlink ref="A14" r:id="rId19" display="javascript:chartPopup('NIFTY', 'OPTIDX', '24DEC2020', '10350.00','CE','NIFTY 50');" xr:uid="{412F3417-E369-5247-9AB9-4911ACEE1147}"/>
    <hyperlink ref="L14" r:id="rId20" display="/live_market/dynaContent/live_watch/option_chain/optionDates.jsp?symbol=NIFTY&amp;instrument=OPTIDX&amp;strike=10350.00" xr:uid="{49D71F57-9DE0-464C-B09C-0D9663AB570A}"/>
    <hyperlink ref="R14" r:id="rId21" display="/live_market/dynaContent/live_watch/get_quote/GetQuoteFO.jsp?underlying=NIFTY&amp;instrument=OPTIDX&amp;strike=10350.00&amp;type=PE&amp;expiry=24DEC2020" xr:uid="{F14868D8-22EB-2A46-94CB-B3E5B2D06387}"/>
    <hyperlink ref="W14" r:id="rId22" display="javascript:chartPopup('NIFTY', 'OPTIDX', '24DEC2020', '10350.00','PE','NIFTY 50');" xr:uid="{AA7117F7-DF8A-7048-9378-614DF915938B}"/>
    <hyperlink ref="A15" r:id="rId23" display="javascript:chartPopup('NIFTY', 'OPTIDX', '24DEC2020', '10400.00','CE','NIFTY 50');" xr:uid="{7C08D9CA-219D-4C48-8ECB-8C989DAD2306}"/>
    <hyperlink ref="L15" r:id="rId24" display="/live_market/dynaContent/live_watch/option_chain/optionDates.jsp?symbol=NIFTY&amp;instrument=OPTIDX&amp;strike=10400.00" xr:uid="{AB554967-DB1C-0E48-963B-4CA5B84F7023}"/>
    <hyperlink ref="R15" r:id="rId25" display="/live_market/dynaContent/live_watch/get_quote/GetQuoteFO.jsp?underlying=NIFTY&amp;instrument=OPTIDX&amp;strike=10400.00&amp;type=PE&amp;expiry=24DEC2020" xr:uid="{7DA8A79B-6C37-4D45-87AE-EE87BF4FD0C7}"/>
    <hyperlink ref="W15" r:id="rId26" display="javascript:chartPopup('NIFTY', 'OPTIDX', '24DEC2020', '10400.00','PE','NIFTY 50');" xr:uid="{11FB02BE-5290-7144-94E5-7BDF74A6EB02}"/>
    <hyperlink ref="A16" r:id="rId27" display="javascript:chartPopup('NIFTY', 'OPTIDX', '24DEC2020', '10450.00','CE','NIFTY 50');" xr:uid="{397D37DD-68C2-D048-997E-63C7DB6E0C88}"/>
    <hyperlink ref="L16" r:id="rId28" display="/live_market/dynaContent/live_watch/option_chain/optionDates.jsp?symbol=NIFTY&amp;instrument=OPTIDX&amp;strike=10450.00" xr:uid="{F9789A81-65ED-2A4F-96B6-0E5FB1D59E65}"/>
    <hyperlink ref="R16" r:id="rId29" display="/live_market/dynaContent/live_watch/get_quote/GetQuoteFO.jsp?underlying=NIFTY&amp;instrument=OPTIDX&amp;strike=10450.00&amp;type=PE&amp;expiry=24DEC2020" xr:uid="{50ECB534-5C01-D640-827B-447F3CB3C603}"/>
    <hyperlink ref="W16" r:id="rId30" display="javascript:chartPopup('NIFTY', 'OPTIDX', '24DEC2020', '10450.00','PE','NIFTY 50');" xr:uid="{DB710FA8-1079-B242-9C92-A1EA1CD60F65}"/>
    <hyperlink ref="A17" r:id="rId31" display="javascript:chartPopup('NIFTY', 'OPTIDX', '24DEC2020', '10500.00','CE','NIFTY 50');" xr:uid="{E1BE8D5A-97B5-4049-AE2E-F930BBDF8527}"/>
    <hyperlink ref="L17" r:id="rId32" display="/live_market/dynaContent/live_watch/option_chain/optionDates.jsp?symbol=NIFTY&amp;instrument=OPTIDX&amp;strike=10500.00" xr:uid="{A446F7C0-1428-C84D-A761-E94EC4D64C73}"/>
    <hyperlink ref="R17" r:id="rId33" display="/live_market/dynaContent/live_watch/get_quote/GetQuoteFO.jsp?underlying=NIFTY&amp;instrument=OPTIDX&amp;strike=10500.00&amp;type=PE&amp;expiry=24DEC2020" xr:uid="{0AE4A2A6-A383-6542-BCB7-4E215F1FA4A4}"/>
    <hyperlink ref="W17" r:id="rId34" display="javascript:chartPopup('NIFTY', 'OPTIDX', '24DEC2020', '10500.00','PE','NIFTY 50');" xr:uid="{11979F92-B683-2045-BE67-9E52B42F2BDD}"/>
    <hyperlink ref="A18" r:id="rId35" display="javascript:chartPopup('NIFTY', 'OPTIDX', '24DEC2020', '10550.00','CE','NIFTY 50');" xr:uid="{5080C472-463C-374E-B9EF-68C14FEE02DF}"/>
    <hyperlink ref="L18" r:id="rId36" display="/live_market/dynaContent/live_watch/option_chain/optionDates.jsp?symbol=NIFTY&amp;instrument=OPTIDX&amp;strike=10550.00" xr:uid="{B3BFD9D3-5AD0-1740-9758-5C691118AA09}"/>
    <hyperlink ref="R18" r:id="rId37" display="/live_market/dynaContent/live_watch/get_quote/GetQuoteFO.jsp?underlying=NIFTY&amp;instrument=OPTIDX&amp;strike=10550.00&amp;type=PE&amp;expiry=24DEC2020" xr:uid="{0CAE6D89-E70C-6848-A7B9-D04EBB99254B}"/>
    <hyperlink ref="W18" r:id="rId38" display="javascript:chartPopup('NIFTY', 'OPTIDX', '24DEC2020', '10550.00','PE','NIFTY 50');" xr:uid="{D89B1F81-CB66-654A-9C79-C8EFF0E2CECA}"/>
    <hyperlink ref="A19" r:id="rId39" display="javascript:chartPopup('NIFTY', 'OPTIDX', '24DEC2020', '10600.00','CE','NIFTY 50');" xr:uid="{F9F7F8B7-8EB1-0F4C-83C4-6C9EEC6AB5FC}"/>
    <hyperlink ref="L19" r:id="rId40" display="/live_market/dynaContent/live_watch/option_chain/optionDates.jsp?symbol=NIFTY&amp;instrument=OPTIDX&amp;strike=10600.00" xr:uid="{0B7FFD10-1934-4F48-AC60-8EEE55A1C15D}"/>
    <hyperlink ref="R19" r:id="rId41" display="/live_market/dynaContent/live_watch/get_quote/GetQuoteFO.jsp?underlying=NIFTY&amp;instrument=OPTIDX&amp;strike=10600.00&amp;type=PE&amp;expiry=24DEC2020" xr:uid="{33311447-DE86-B64B-8536-8621FD01BF94}"/>
    <hyperlink ref="W19" r:id="rId42" display="javascript:chartPopup('NIFTY', 'OPTIDX', '24DEC2020', '10600.00','PE','NIFTY 50');" xr:uid="{8CDFF0F8-72D2-1945-958A-55406BDAA896}"/>
    <hyperlink ref="A20" r:id="rId43" display="javascript:chartPopup('NIFTY', 'OPTIDX', '24DEC2020', '10650.00','CE','NIFTY 50');" xr:uid="{052EB992-953D-7E4C-BC37-D92BA8573AB5}"/>
    <hyperlink ref="L20" r:id="rId44" display="/live_market/dynaContent/live_watch/option_chain/optionDates.jsp?symbol=NIFTY&amp;instrument=OPTIDX&amp;strike=10650.00" xr:uid="{C80CEED6-9374-C94C-87B0-25A8EF846F94}"/>
    <hyperlink ref="R20" r:id="rId45" display="/live_market/dynaContent/live_watch/get_quote/GetQuoteFO.jsp?underlying=NIFTY&amp;instrument=OPTIDX&amp;strike=10650.00&amp;type=PE&amp;expiry=24DEC2020" xr:uid="{82D6BD71-3991-304F-ADA3-82640C19B497}"/>
    <hyperlink ref="W20" r:id="rId46" display="javascript:chartPopup('NIFTY', 'OPTIDX', '24DEC2020', '10650.00','PE','NIFTY 50');" xr:uid="{2B5DF8D1-B03C-E944-BE4F-AB6EA44A109C}"/>
    <hyperlink ref="A21" r:id="rId47" display="javascript:chartPopup('NIFTY', 'OPTIDX', '24DEC2020', '10700.00','CE','NIFTY 50');" xr:uid="{6BA727B2-A66C-D646-AD0A-492907611830}"/>
    <hyperlink ref="L21" r:id="rId48" display="/live_market/dynaContent/live_watch/option_chain/optionDates.jsp?symbol=NIFTY&amp;instrument=OPTIDX&amp;strike=10700.00" xr:uid="{5A7CF39F-47B9-974C-AB75-1B2E53707A91}"/>
    <hyperlink ref="R21" r:id="rId49" display="/live_market/dynaContent/live_watch/get_quote/GetQuoteFO.jsp?underlying=NIFTY&amp;instrument=OPTIDX&amp;strike=10700.00&amp;type=PE&amp;expiry=24DEC2020" xr:uid="{C8EFC903-505D-A74B-A7FD-7E72621FD071}"/>
    <hyperlink ref="W21" r:id="rId50" display="javascript:chartPopup('NIFTY', 'OPTIDX', '24DEC2020', '10700.00','PE','NIFTY 50');" xr:uid="{5AD6A94E-4EA1-AB4B-844C-7818D680E16C}"/>
    <hyperlink ref="A22" r:id="rId51" display="javascript:chartPopup('NIFTY', 'OPTIDX', '24DEC2020', '10750.00','CE','NIFTY 50');" xr:uid="{AA9145B6-7E55-3747-B496-99860C40A13C}"/>
    <hyperlink ref="L22" r:id="rId52" display="/live_market/dynaContent/live_watch/option_chain/optionDates.jsp?symbol=NIFTY&amp;instrument=OPTIDX&amp;strike=10750.00" xr:uid="{9C8F512E-D431-B94E-B653-17F9217226FC}"/>
    <hyperlink ref="R22" r:id="rId53" display="/live_market/dynaContent/live_watch/get_quote/GetQuoteFO.jsp?underlying=NIFTY&amp;instrument=OPTIDX&amp;strike=10750.00&amp;type=PE&amp;expiry=24DEC2020" xr:uid="{B0B6644D-8A07-F045-A101-4B157F70AA0A}"/>
    <hyperlink ref="W22" r:id="rId54" display="javascript:chartPopup('NIFTY', 'OPTIDX', '24DEC2020', '10750.00','PE','NIFTY 50');" xr:uid="{41353822-3C15-814F-B147-378D6A6E3F01}"/>
    <hyperlink ref="A23" r:id="rId55" display="javascript:chartPopup('NIFTY', 'OPTIDX', '24DEC2020', '10800.00','CE','NIFTY 50');" xr:uid="{0C4D8BF0-829C-F048-8BF9-77142EC4F406}"/>
    <hyperlink ref="L23" r:id="rId56" display="/live_market/dynaContent/live_watch/option_chain/optionDates.jsp?symbol=NIFTY&amp;instrument=OPTIDX&amp;strike=10800.00" xr:uid="{11A329F3-68D6-A548-AEEA-CC3EAE51FE3B}"/>
    <hyperlink ref="R23" r:id="rId57" display="/live_market/dynaContent/live_watch/get_quote/GetQuoteFO.jsp?underlying=NIFTY&amp;instrument=OPTIDX&amp;strike=10800.00&amp;type=PE&amp;expiry=24DEC2020" xr:uid="{A2C95DA5-63EB-CD4E-9A0A-0B75F1FD60E5}"/>
    <hyperlink ref="W23" r:id="rId58" display="javascript:chartPopup('NIFTY', 'OPTIDX', '24DEC2020', '10800.00','PE','NIFTY 50');" xr:uid="{D081592B-8D56-444B-940A-3ED768732497}"/>
    <hyperlink ref="A24" r:id="rId59" display="javascript:chartPopup('NIFTY', 'OPTIDX', '24DEC2020', '10850.00','CE','NIFTY 50');" xr:uid="{88C6EE1F-D018-3946-9939-851ADE478A83}"/>
    <hyperlink ref="L24" r:id="rId60" display="/live_market/dynaContent/live_watch/option_chain/optionDates.jsp?symbol=NIFTY&amp;instrument=OPTIDX&amp;strike=10850.00" xr:uid="{33DE82E4-AEBE-2C4F-B985-B949A58F07BF}"/>
    <hyperlink ref="R24" r:id="rId61" display="/live_market/dynaContent/live_watch/get_quote/GetQuoteFO.jsp?underlying=NIFTY&amp;instrument=OPTIDX&amp;strike=10850.00&amp;type=PE&amp;expiry=24DEC2020" xr:uid="{56D769E7-A363-444E-8968-230E8E1C9C73}"/>
    <hyperlink ref="W24" r:id="rId62" display="javascript:chartPopup('NIFTY', 'OPTIDX', '24DEC2020', '10850.00','PE','NIFTY 50');" xr:uid="{A3F2F2A3-6039-8440-AE27-06DA94457106}"/>
    <hyperlink ref="A25" r:id="rId63" display="javascript:chartPopup('NIFTY', 'OPTIDX', '24DEC2020', '10900.00','CE','NIFTY 50');" xr:uid="{6D788EE4-4EF3-B547-99C4-E918129443B7}"/>
    <hyperlink ref="L25" r:id="rId64" display="/live_market/dynaContent/live_watch/option_chain/optionDates.jsp?symbol=NIFTY&amp;instrument=OPTIDX&amp;strike=10900.00" xr:uid="{EE78B59B-2D6E-FE4E-87DE-B72035481F71}"/>
    <hyperlink ref="R25" r:id="rId65" display="/live_market/dynaContent/live_watch/get_quote/GetQuoteFO.jsp?underlying=NIFTY&amp;instrument=OPTIDX&amp;strike=10900.00&amp;type=PE&amp;expiry=24DEC2020" xr:uid="{5D850819-4B16-EF47-B2E3-0720DDBB655A}"/>
    <hyperlink ref="W25" r:id="rId66" display="javascript:chartPopup('NIFTY', 'OPTIDX', '24DEC2020', '10900.00','PE','NIFTY 50');" xr:uid="{9181FC9D-D75D-C045-903E-22C29BFAF766}"/>
    <hyperlink ref="A26" r:id="rId67" display="javascript:chartPopup('NIFTY', 'OPTIDX', '24DEC2020', '10950.00','CE','NIFTY 50');" xr:uid="{632BC514-B4E7-5F49-877E-2BD85569B4C9}"/>
    <hyperlink ref="L26" r:id="rId68" display="/live_market/dynaContent/live_watch/option_chain/optionDates.jsp?symbol=NIFTY&amp;instrument=OPTIDX&amp;strike=10950.00" xr:uid="{FA93DD37-BC1E-1943-B7A0-9738BB3B09A9}"/>
    <hyperlink ref="W26" r:id="rId69" display="javascript:chartPopup('NIFTY', 'OPTIDX', '24DEC2020', '10950.00','PE','NIFTY 50');" xr:uid="{447C488F-67CB-3345-81F2-3591004A64C9}"/>
    <hyperlink ref="A27" r:id="rId70" display="javascript:chartPopup('NIFTY', 'OPTIDX', '24DEC2020', '11000.00','CE','NIFTY 50');" xr:uid="{0B1673C1-8B35-9042-8604-F0E80FC850EF}"/>
    <hyperlink ref="L27" r:id="rId71" display="/live_market/dynaContent/live_watch/option_chain/optionDates.jsp?symbol=NIFTY&amp;instrument=OPTIDX&amp;strike=11000.00" xr:uid="{DF168C44-BB14-D544-9C7C-695072F3D3C6}"/>
    <hyperlink ref="R27" r:id="rId72" display="/live_market/dynaContent/live_watch/get_quote/GetQuoteFO.jsp?underlying=NIFTY&amp;instrument=OPTIDX&amp;strike=11000.00&amp;type=PE&amp;expiry=24DEC2020" xr:uid="{9A2CD1BF-B8AC-B144-A663-29746885742B}"/>
    <hyperlink ref="W27" r:id="rId73" display="javascript:chartPopup('NIFTY', 'OPTIDX', '24DEC2020', '11000.00','PE','NIFTY 50');" xr:uid="{AF603A9E-B91C-E645-849E-0B874D13BB0B}"/>
    <hyperlink ref="A28" r:id="rId74" display="javascript:chartPopup('NIFTY', 'OPTIDX', '24DEC2020', '11050.00','CE','NIFTY 50');" xr:uid="{68253D18-47C2-A24F-8F53-E8DE875E4106}"/>
    <hyperlink ref="L28" r:id="rId75" display="/live_market/dynaContent/live_watch/option_chain/optionDates.jsp?symbol=NIFTY&amp;instrument=OPTIDX&amp;strike=11050.00" xr:uid="{FCC49AA2-F6DC-214F-BA27-CFC984E4C2C0}"/>
    <hyperlink ref="W28" r:id="rId76" display="javascript:chartPopup('NIFTY', 'OPTIDX', '24DEC2020', '11050.00','PE','NIFTY 50');" xr:uid="{52FC52CE-FF43-FA46-B8DB-D5330A07EA95}"/>
    <hyperlink ref="A29" r:id="rId77" display="javascript:chartPopup('NIFTY', 'OPTIDX', '24DEC2020', '11100.00','CE','NIFTY 50');" xr:uid="{013AC318-7233-0F44-A1A2-43EEDE734693}"/>
    <hyperlink ref="L29" r:id="rId78" display="/live_market/dynaContent/live_watch/option_chain/optionDates.jsp?symbol=NIFTY&amp;instrument=OPTIDX&amp;strike=11100.00" xr:uid="{9063ADC1-FF74-C948-824C-52F648DAFB24}"/>
    <hyperlink ref="R29" r:id="rId79" display="/live_market/dynaContent/live_watch/get_quote/GetQuoteFO.jsp?underlying=NIFTY&amp;instrument=OPTIDX&amp;strike=11100.00&amp;type=PE&amp;expiry=24DEC2020" xr:uid="{68C5E9E1-AB98-314A-AB07-1664FBBB512E}"/>
    <hyperlink ref="W29" r:id="rId80" display="javascript:chartPopup('NIFTY', 'OPTIDX', '24DEC2020', '11100.00','PE','NIFTY 50');" xr:uid="{A44BA250-79CB-8345-946B-6EAD1F424583}"/>
    <hyperlink ref="A30" r:id="rId81" display="javascript:chartPopup('NIFTY', 'OPTIDX', '24DEC2020', '11150.00','CE','NIFTY 50');" xr:uid="{94D47295-CA76-9649-8733-9575526EC48B}"/>
    <hyperlink ref="L30" r:id="rId82" display="/live_market/dynaContent/live_watch/option_chain/optionDates.jsp?symbol=NIFTY&amp;instrument=OPTIDX&amp;strike=11150.00" xr:uid="{9733CED4-0955-C44A-A98C-CA95683BBBF4}"/>
    <hyperlink ref="W30" r:id="rId83" display="javascript:chartPopup('NIFTY', 'OPTIDX', '24DEC2020', '11150.00','PE','NIFTY 50');" xr:uid="{132AE734-58FA-3747-A7E8-4477AD1E0B52}"/>
    <hyperlink ref="A31" r:id="rId84" display="javascript:chartPopup('NIFTY', 'OPTIDX', '24DEC2020', '11200.00','CE','NIFTY 50');" xr:uid="{BEE183E7-CB1B-FE4E-B42F-C90228D6FB7E}"/>
    <hyperlink ref="L31" r:id="rId85" display="/live_market/dynaContent/live_watch/option_chain/optionDates.jsp?symbol=NIFTY&amp;instrument=OPTIDX&amp;strike=11200.00" xr:uid="{4FC3F5A8-A3E1-B344-B8AF-52614BA80DEB}"/>
    <hyperlink ref="R31" r:id="rId86" display="/live_market/dynaContent/live_watch/get_quote/GetQuoteFO.jsp?underlying=NIFTY&amp;instrument=OPTIDX&amp;strike=11200.00&amp;type=PE&amp;expiry=24DEC2020" xr:uid="{88E5309C-81AD-9A43-B9BC-66E40543D0B8}"/>
    <hyperlink ref="W31" r:id="rId87" display="javascript:chartPopup('NIFTY', 'OPTIDX', '24DEC2020', '11200.00','PE','NIFTY 50');" xr:uid="{D8A57667-A2A1-1441-9DD7-F6A33E78E573}"/>
    <hyperlink ref="A32" r:id="rId88" display="javascript:chartPopup('NIFTY', 'OPTIDX', '24DEC2020', '11250.00','CE','NIFTY 50');" xr:uid="{0A8941F3-29DD-094F-B0EB-494199209709}"/>
    <hyperlink ref="L32" r:id="rId89" display="/live_market/dynaContent/live_watch/option_chain/optionDates.jsp?symbol=NIFTY&amp;instrument=OPTIDX&amp;strike=11250.00" xr:uid="{2A4F1BB0-5FF2-A343-9225-196D90580A3C}"/>
    <hyperlink ref="W32" r:id="rId90" display="javascript:chartPopup('NIFTY', 'OPTIDX', '24DEC2020', '11250.00','PE','NIFTY 50');" xr:uid="{BEE5E9E2-FEA3-3540-8B13-3357F4C397C9}"/>
    <hyperlink ref="A33" r:id="rId91" display="javascript:chartPopup('NIFTY', 'OPTIDX', '24DEC2020', '11300.00','CE','NIFTY 50');" xr:uid="{B66E1CBE-1F58-5D42-AF69-594F00D60876}"/>
    <hyperlink ref="L33" r:id="rId92" display="/live_market/dynaContent/live_watch/option_chain/optionDates.jsp?symbol=NIFTY&amp;instrument=OPTIDX&amp;strike=11300.00" xr:uid="{13A680B1-F5F3-7F43-9E68-0FB10E8F8DC4}"/>
    <hyperlink ref="R33" r:id="rId93" display="/live_market/dynaContent/live_watch/get_quote/GetQuoteFO.jsp?underlying=NIFTY&amp;instrument=OPTIDX&amp;strike=11300.00&amp;type=PE&amp;expiry=24DEC2020" xr:uid="{AE43CED4-FA3F-D84D-BAC0-52599B964C13}"/>
    <hyperlink ref="W33" r:id="rId94" display="javascript:chartPopup('NIFTY', 'OPTIDX', '24DEC2020', '11300.00','PE','NIFTY 50');" xr:uid="{87876312-E6AA-B54F-AB27-C67B7056187E}"/>
    <hyperlink ref="A34" r:id="rId95" display="javascript:chartPopup('NIFTY', 'OPTIDX', '24DEC2020', '11350.00','CE','NIFTY 50');" xr:uid="{959FAF3F-77DB-BD40-ADF8-84DAEDF77835}"/>
    <hyperlink ref="L34" r:id="rId96" display="/live_market/dynaContent/live_watch/option_chain/optionDates.jsp?symbol=NIFTY&amp;instrument=OPTIDX&amp;strike=11350.00" xr:uid="{2880B6CC-B0E8-0047-8F5A-E3A13577C795}"/>
    <hyperlink ref="R34" r:id="rId97" display="/live_market/dynaContent/live_watch/get_quote/GetQuoteFO.jsp?underlying=NIFTY&amp;instrument=OPTIDX&amp;strike=11350.00&amp;type=PE&amp;expiry=24DEC2020" xr:uid="{00B76DC8-9005-7B45-9ACA-843026C6CB07}"/>
    <hyperlink ref="W34" r:id="rId98" display="javascript:chartPopup('NIFTY', 'OPTIDX', '24DEC2020', '11350.00','PE','NIFTY 50');" xr:uid="{5A805800-B84A-4547-A4F1-F52D8F5ACAFD}"/>
    <hyperlink ref="A35" r:id="rId99" display="javascript:chartPopup('NIFTY', 'OPTIDX', '24DEC2020', '11400.00','CE','NIFTY 50');" xr:uid="{2352506A-A4B2-2B48-A25F-B5BDCBD1105F}"/>
    <hyperlink ref="L35" r:id="rId100" display="/live_market/dynaContent/live_watch/option_chain/optionDates.jsp?symbol=NIFTY&amp;instrument=OPTIDX&amp;strike=11400.00" xr:uid="{EB4EA3B8-F05C-CB40-B31D-88006CC80D02}"/>
    <hyperlink ref="R35" r:id="rId101" display="/live_market/dynaContent/live_watch/get_quote/GetQuoteFO.jsp?underlying=NIFTY&amp;instrument=OPTIDX&amp;strike=11400.00&amp;type=PE&amp;expiry=24DEC2020" xr:uid="{59F32372-F57F-B04B-872A-6FDFF22CCE24}"/>
    <hyperlink ref="W35" r:id="rId102" display="javascript:chartPopup('NIFTY', 'OPTIDX', '24DEC2020', '11400.00','PE','NIFTY 50');" xr:uid="{A02EE5E0-D6CC-5F48-923A-025E8C230158}"/>
    <hyperlink ref="A36" r:id="rId103" display="javascript:chartPopup('NIFTY', 'OPTIDX', '24DEC2020', '11450.00','CE','NIFTY 50');" xr:uid="{BE995291-0939-DD4D-8024-337C1FDE4E7F}"/>
    <hyperlink ref="L36" r:id="rId104" display="/live_market/dynaContent/live_watch/option_chain/optionDates.jsp?symbol=NIFTY&amp;instrument=OPTIDX&amp;strike=11450.00" xr:uid="{60896499-AAAC-F947-92A7-B8024E12E2E8}"/>
    <hyperlink ref="R36" r:id="rId105" display="/live_market/dynaContent/live_watch/get_quote/GetQuoteFO.jsp?underlying=NIFTY&amp;instrument=OPTIDX&amp;strike=11450.00&amp;type=PE&amp;expiry=24DEC2020" xr:uid="{FE950B7A-A58A-2747-8C75-9BBE1C3BA300}"/>
    <hyperlink ref="W36" r:id="rId106" display="javascript:chartPopup('NIFTY', 'OPTIDX', '24DEC2020', '11450.00','PE','NIFTY 50');" xr:uid="{156CE7DF-D338-8940-9E12-EF77EFB7FBB8}"/>
    <hyperlink ref="A37" r:id="rId107" display="javascript:chartPopup('NIFTY', 'OPTIDX', '24DEC2020', '11500.00','CE','NIFTY 50');" xr:uid="{03E77856-F45A-4D41-9AF2-249868BA7272}"/>
    <hyperlink ref="F37" r:id="rId108" display="/live_market/dynaContent/live_watch/get_quote/GetQuoteFO.jsp?underlying=NIFTY&amp;instrument=OPTIDX&amp;strike=11500.00&amp;type=CE&amp;expiry=24DEC2020" xr:uid="{630CA1B7-AA65-7849-B997-A01859703002}"/>
    <hyperlink ref="L37" r:id="rId109" display="/live_market/dynaContent/live_watch/option_chain/optionDates.jsp?symbol=NIFTY&amp;instrument=OPTIDX&amp;strike=11500.00" xr:uid="{42C129BB-B28B-9E40-A71C-F1850A52BCD7}"/>
    <hyperlink ref="R37" r:id="rId110" display="/live_market/dynaContent/live_watch/get_quote/GetQuoteFO.jsp?underlying=NIFTY&amp;instrument=OPTIDX&amp;strike=11500.00&amp;type=PE&amp;expiry=24DEC2020" xr:uid="{A1F6D1BB-8070-5348-B485-582BDB88857E}"/>
    <hyperlink ref="W37" r:id="rId111" display="javascript:chartPopup('NIFTY', 'OPTIDX', '24DEC2020', '11500.00','PE','NIFTY 50');" xr:uid="{D3A77717-426A-6F40-A28F-7BC249B5369A}"/>
    <hyperlink ref="A38" r:id="rId112" display="javascript:chartPopup('NIFTY', 'OPTIDX', '24DEC2020', '11550.00','CE','NIFTY 50');" xr:uid="{D69B5450-73DF-DC44-B92E-CD80A1995E31}"/>
    <hyperlink ref="L38" r:id="rId113" display="/live_market/dynaContent/live_watch/option_chain/optionDates.jsp?symbol=NIFTY&amp;instrument=OPTIDX&amp;strike=11550.00" xr:uid="{3F2E0B6F-6DE6-DF46-978E-B9E629E2B962}"/>
    <hyperlink ref="R38" r:id="rId114" display="/live_market/dynaContent/live_watch/get_quote/GetQuoteFO.jsp?underlying=NIFTY&amp;instrument=OPTIDX&amp;strike=11550.00&amp;type=PE&amp;expiry=24DEC2020" xr:uid="{E68456C3-0E25-AC47-A350-A776871D5E1C}"/>
    <hyperlink ref="W38" r:id="rId115" display="javascript:chartPopup('NIFTY', 'OPTIDX', '24DEC2020', '11550.00','PE','NIFTY 50');" xr:uid="{0148FA86-5902-054D-8F6B-D87FEB0C3D04}"/>
    <hyperlink ref="A39" r:id="rId116" display="javascript:chartPopup('NIFTY', 'OPTIDX', '24DEC2020', '11600.00','CE','NIFTY 50');" xr:uid="{99F2C7AD-681D-7B4C-967A-F3C3AC5D1660}"/>
    <hyperlink ref="L39" r:id="rId117" display="/live_market/dynaContent/live_watch/option_chain/optionDates.jsp?symbol=NIFTY&amp;instrument=OPTIDX&amp;strike=11600.00" xr:uid="{911AF3A7-5730-8E4F-922F-E99E9D38603A}"/>
    <hyperlink ref="R39" r:id="rId118" display="/live_market/dynaContent/live_watch/get_quote/GetQuoteFO.jsp?underlying=NIFTY&amp;instrument=OPTIDX&amp;strike=11600.00&amp;type=PE&amp;expiry=24DEC2020" xr:uid="{3D2BCB90-0319-2C47-92A3-C2F88BCA1553}"/>
    <hyperlink ref="W39" r:id="rId119" display="javascript:chartPopup('NIFTY', 'OPTIDX', '24DEC2020', '11600.00','PE','NIFTY 50');" xr:uid="{BD3E8EFF-EA0B-2641-820F-2F1AB6295A22}"/>
    <hyperlink ref="A40" r:id="rId120" display="javascript:chartPopup('NIFTY', 'OPTIDX', '24DEC2020', '11650.00','CE','NIFTY 50');" xr:uid="{9B5B6A01-3FC3-3F4F-9C04-3AB91B18B0B1}"/>
    <hyperlink ref="L40" r:id="rId121" display="/live_market/dynaContent/live_watch/option_chain/optionDates.jsp?symbol=NIFTY&amp;instrument=OPTIDX&amp;strike=11650.00" xr:uid="{A0DE5972-0CE5-0B42-8109-385A5A61E35F}"/>
    <hyperlink ref="R40" r:id="rId122" display="/live_market/dynaContent/live_watch/get_quote/GetQuoteFO.jsp?underlying=NIFTY&amp;instrument=OPTIDX&amp;strike=11650.00&amp;type=PE&amp;expiry=24DEC2020" xr:uid="{0BD0ADD5-43F7-B042-BA6A-E2396E749448}"/>
    <hyperlink ref="W40" r:id="rId123" display="javascript:chartPopup('NIFTY', 'OPTIDX', '24DEC2020', '11650.00','PE','NIFTY 50');" xr:uid="{F7B86798-9878-F842-9305-265EDDCFA985}"/>
    <hyperlink ref="A41" r:id="rId124" display="javascript:chartPopup('NIFTY', 'OPTIDX', '24DEC2020', '11700.00','CE','NIFTY 50');" xr:uid="{27121093-C35A-D741-B5FC-829E9EACAB7B}"/>
    <hyperlink ref="L41" r:id="rId125" display="/live_market/dynaContent/live_watch/option_chain/optionDates.jsp?symbol=NIFTY&amp;instrument=OPTIDX&amp;strike=11700.00" xr:uid="{233FCA3F-935B-094B-9A6B-B570FFBFB0EF}"/>
    <hyperlink ref="R41" r:id="rId126" display="/live_market/dynaContent/live_watch/get_quote/GetQuoteFO.jsp?underlying=NIFTY&amp;instrument=OPTIDX&amp;strike=11700.00&amp;type=PE&amp;expiry=24DEC2020" xr:uid="{59DD6FFC-4062-9048-A57B-1C8550DC0498}"/>
    <hyperlink ref="W41" r:id="rId127" display="javascript:chartPopup('NIFTY', 'OPTIDX', '24DEC2020', '11700.00','PE','NIFTY 50');" xr:uid="{FED9275B-5909-0C49-B648-B53A3A09926F}"/>
    <hyperlink ref="A42" r:id="rId128" display="javascript:chartPopup('NIFTY', 'OPTIDX', '24DEC2020', '11750.00','CE','NIFTY 50');" xr:uid="{5FCA16D3-E8D7-A648-A275-644525847F4E}"/>
    <hyperlink ref="L42" r:id="rId129" display="/live_market/dynaContent/live_watch/option_chain/optionDates.jsp?symbol=NIFTY&amp;instrument=OPTIDX&amp;strike=11750.00" xr:uid="{62CC3AD6-E253-D64D-9B85-834D7C0DCD07}"/>
    <hyperlink ref="R42" r:id="rId130" display="/live_market/dynaContent/live_watch/get_quote/GetQuoteFO.jsp?underlying=NIFTY&amp;instrument=OPTIDX&amp;strike=11750.00&amp;type=PE&amp;expiry=24DEC2020" xr:uid="{8657FCDB-6C8A-834B-8BD6-283C0498026B}"/>
    <hyperlink ref="W42" r:id="rId131" display="javascript:chartPopup('NIFTY', 'OPTIDX', '24DEC2020', '11750.00','PE','NIFTY 50');" xr:uid="{A8F568A4-2F04-1C49-8F0C-ED6744206B1B}"/>
    <hyperlink ref="A43" r:id="rId132" display="javascript:chartPopup('NIFTY', 'OPTIDX', '24DEC2020', '11800.00','CE','NIFTY 50');" xr:uid="{23EA60DF-DD7E-F14F-894D-7E895B627CC0}"/>
    <hyperlink ref="L43" r:id="rId133" display="/live_market/dynaContent/live_watch/option_chain/optionDates.jsp?symbol=NIFTY&amp;instrument=OPTIDX&amp;strike=11800.00" xr:uid="{D0FA2316-3A87-0E4A-AB14-D43FFDBF6DFA}"/>
    <hyperlink ref="R43" r:id="rId134" display="/live_market/dynaContent/live_watch/get_quote/GetQuoteFO.jsp?underlying=NIFTY&amp;instrument=OPTIDX&amp;strike=11800.00&amp;type=PE&amp;expiry=24DEC2020" xr:uid="{481686EB-4F2D-834B-B3A9-C8B46CE97BCE}"/>
    <hyperlink ref="W43" r:id="rId135" display="javascript:chartPopup('NIFTY', 'OPTIDX', '24DEC2020', '11800.00','PE','NIFTY 50');" xr:uid="{0B866E0A-899D-BD4C-A1CB-43A5BE32B895}"/>
    <hyperlink ref="A44" r:id="rId136" display="javascript:chartPopup('NIFTY', 'OPTIDX', '24DEC2020', '11850.00','CE','NIFTY 50');" xr:uid="{08CB583D-BC70-514B-A82A-B11B207605D8}"/>
    <hyperlink ref="L44" r:id="rId137" display="/live_market/dynaContent/live_watch/option_chain/optionDates.jsp?symbol=NIFTY&amp;instrument=OPTIDX&amp;strike=11850.00" xr:uid="{0A0CC8FB-C78A-454F-B4FD-E379159FE564}"/>
    <hyperlink ref="R44" r:id="rId138" display="/live_market/dynaContent/live_watch/get_quote/GetQuoteFO.jsp?underlying=NIFTY&amp;instrument=OPTIDX&amp;strike=11850.00&amp;type=PE&amp;expiry=24DEC2020" xr:uid="{18056719-2493-6445-BF7F-4D38FF7E237A}"/>
    <hyperlink ref="W44" r:id="rId139" display="javascript:chartPopup('NIFTY', 'OPTIDX', '24DEC2020', '11850.00','PE','NIFTY 50');" xr:uid="{0A9D3CBC-22D9-034A-933A-01C8D61F7EC9}"/>
    <hyperlink ref="A45" r:id="rId140" display="javascript:chartPopup('NIFTY', 'OPTIDX', '24DEC2020', '11900.00','CE','NIFTY 50');" xr:uid="{60248AF7-3F3A-CE4B-864C-321C52BB0705}"/>
    <hyperlink ref="L45" r:id="rId141" display="/live_market/dynaContent/live_watch/option_chain/optionDates.jsp?symbol=NIFTY&amp;instrument=OPTIDX&amp;strike=11900.00" xr:uid="{4428F0F4-49AD-034B-8568-FACABD28DC7C}"/>
    <hyperlink ref="R45" r:id="rId142" display="/live_market/dynaContent/live_watch/get_quote/GetQuoteFO.jsp?underlying=NIFTY&amp;instrument=OPTIDX&amp;strike=11900.00&amp;type=PE&amp;expiry=24DEC2020" xr:uid="{244057AA-4096-1840-A701-56D79060942B}"/>
    <hyperlink ref="W45" r:id="rId143" display="javascript:chartPopup('NIFTY', 'OPTIDX', '24DEC2020', '11900.00','PE','NIFTY 50');" xr:uid="{716841D5-87F4-2646-8E7B-44BAD022F09B}"/>
    <hyperlink ref="A46" r:id="rId144" display="javascript:chartPopup('NIFTY', 'OPTIDX', '24DEC2020', '11950.00','CE','NIFTY 50');" xr:uid="{11263072-3C1E-304D-B548-DFFBD98A79CB}"/>
    <hyperlink ref="L46" r:id="rId145" display="/live_market/dynaContent/live_watch/option_chain/optionDates.jsp?symbol=NIFTY&amp;instrument=OPTIDX&amp;strike=11950.00" xr:uid="{A29675E0-6A9D-104F-B0FA-B71E1C55EF58}"/>
    <hyperlink ref="W46" r:id="rId146" display="javascript:chartPopup('NIFTY', 'OPTIDX', '24DEC2020', '11950.00','PE','NIFTY 50');" xr:uid="{42B3BA0F-3740-0D43-888F-0440D26311E0}"/>
    <hyperlink ref="A47" r:id="rId147" display="javascript:chartPopup('NIFTY', 'OPTIDX', '24DEC2020', '12000.00','CE','NIFTY 50');" xr:uid="{1FD79146-3BB1-4C40-9EF9-265987AB8839}"/>
    <hyperlink ref="F47" r:id="rId148" display="/live_market/dynaContent/live_watch/get_quote/GetQuoteFO.jsp?underlying=NIFTY&amp;instrument=OPTIDX&amp;strike=12000.00&amp;type=CE&amp;expiry=24DEC2020" xr:uid="{E67634C1-F69E-3A43-BC50-77DF188F31CC}"/>
    <hyperlink ref="L47" r:id="rId149" display="/live_market/dynaContent/live_watch/option_chain/optionDates.jsp?symbol=NIFTY&amp;instrument=OPTIDX&amp;strike=12000.00" xr:uid="{3F41103E-8D72-5342-8D72-0E35E81453B7}"/>
    <hyperlink ref="R47" r:id="rId150" display="/live_market/dynaContent/live_watch/get_quote/GetQuoteFO.jsp?underlying=NIFTY&amp;instrument=OPTIDX&amp;strike=12000.00&amp;type=PE&amp;expiry=24DEC2020" xr:uid="{FDC82A40-91DF-AA49-BA0A-C42450B10FDF}"/>
    <hyperlink ref="W47" r:id="rId151" display="javascript:chartPopup('NIFTY', 'OPTIDX', '24DEC2020', '12000.00','PE','NIFTY 50');" xr:uid="{81EB2775-29DF-D340-A12F-971DE0767553}"/>
    <hyperlink ref="A48" r:id="rId152" display="javascript:chartPopup('NIFTY', 'OPTIDX', '24DEC2020', '12050.00','CE','NIFTY 50');" xr:uid="{063EC031-CC37-3D4E-9F09-3BC6E2A04D41}"/>
    <hyperlink ref="L48" r:id="rId153" display="/live_market/dynaContent/live_watch/option_chain/optionDates.jsp?symbol=NIFTY&amp;instrument=OPTIDX&amp;strike=12050.00" xr:uid="{694EEDCD-551E-354E-93E3-AABC1759819C}"/>
    <hyperlink ref="R48" r:id="rId154" display="/live_market/dynaContent/live_watch/get_quote/GetQuoteFO.jsp?underlying=NIFTY&amp;instrument=OPTIDX&amp;strike=12050.00&amp;type=PE&amp;expiry=24DEC2020" xr:uid="{C014C99A-5120-E343-9FC3-E14589D7398D}"/>
    <hyperlink ref="W48" r:id="rId155" display="javascript:chartPopup('NIFTY', 'OPTIDX', '24DEC2020', '12050.00','PE','NIFTY 50');" xr:uid="{78058496-47AD-3449-867E-34124E702E9A}"/>
    <hyperlink ref="A49" r:id="rId156" display="javascript:chartPopup('NIFTY', 'OPTIDX', '24DEC2020', '12100.00','CE','NIFTY 50');" xr:uid="{C54608E4-D77C-7A48-BC86-D51408E5200B}"/>
    <hyperlink ref="L49" r:id="rId157" display="/live_market/dynaContent/live_watch/option_chain/optionDates.jsp?symbol=NIFTY&amp;instrument=OPTIDX&amp;strike=12100.00" xr:uid="{86EBE0CC-2302-604E-9870-545B02D9778E}"/>
    <hyperlink ref="R49" r:id="rId158" display="/live_market/dynaContent/live_watch/get_quote/GetQuoteFO.jsp?underlying=NIFTY&amp;instrument=OPTIDX&amp;strike=12100.00&amp;type=PE&amp;expiry=24DEC2020" xr:uid="{609E0289-854D-174F-A8B3-DC3367C62AC6}"/>
    <hyperlink ref="W49" r:id="rId159" display="javascript:chartPopup('NIFTY', 'OPTIDX', '24DEC2020', '12100.00','PE','NIFTY 50');" xr:uid="{A677D80E-5925-C945-9486-7EC5963B5BAD}"/>
    <hyperlink ref="A50" r:id="rId160" display="javascript:chartPopup('NIFTY', 'OPTIDX', '24DEC2020', '12150.00','CE','NIFTY 50');" xr:uid="{3C4C075C-52F7-4D4C-A891-AFE277FAEBD0}"/>
    <hyperlink ref="L50" r:id="rId161" display="/live_market/dynaContent/live_watch/option_chain/optionDates.jsp?symbol=NIFTY&amp;instrument=OPTIDX&amp;strike=12150.00" xr:uid="{9C74D3CB-FF4C-9C45-8E84-E075E55697FC}"/>
    <hyperlink ref="R50" r:id="rId162" display="/live_market/dynaContent/live_watch/get_quote/GetQuoteFO.jsp?underlying=NIFTY&amp;instrument=OPTIDX&amp;strike=12150.00&amp;type=PE&amp;expiry=24DEC2020" xr:uid="{75E6ECB5-8169-1740-A1DB-5A44E739FACF}"/>
    <hyperlink ref="W50" r:id="rId163" display="javascript:chartPopup('NIFTY', 'OPTIDX', '24DEC2020', '12150.00','PE','NIFTY 50');" xr:uid="{38DA93A8-27A7-C44A-985F-9FC3B9187FA2}"/>
    <hyperlink ref="A51" r:id="rId164" display="javascript:chartPopup('NIFTY', 'OPTIDX', '24DEC2020', '12200.00','CE','NIFTY 50');" xr:uid="{2E402B9B-0942-104F-ACBB-9AF4B19E21B8}"/>
    <hyperlink ref="F51" r:id="rId165" display="/live_market/dynaContent/live_watch/get_quote/GetQuoteFO.jsp?underlying=NIFTY&amp;instrument=OPTIDX&amp;strike=12200.00&amp;type=CE&amp;expiry=24DEC2020" xr:uid="{B7FE8202-BCF9-C348-9F3A-415DC80F5D3F}"/>
    <hyperlink ref="L51" r:id="rId166" display="/live_market/dynaContent/live_watch/option_chain/optionDates.jsp?symbol=NIFTY&amp;instrument=OPTIDX&amp;strike=12200.00" xr:uid="{C31BCE46-B3E0-B947-BE39-3F8F8ACD477D}"/>
    <hyperlink ref="R51" r:id="rId167" display="/live_market/dynaContent/live_watch/get_quote/GetQuoteFO.jsp?underlying=NIFTY&amp;instrument=OPTIDX&amp;strike=12200.00&amp;type=PE&amp;expiry=24DEC2020" xr:uid="{8E6D4645-6C1B-A543-914F-8CA40019E09A}"/>
    <hyperlink ref="W51" r:id="rId168" display="javascript:chartPopup('NIFTY', 'OPTIDX', '24DEC2020', '12200.00','PE','NIFTY 50');" xr:uid="{0BB14BC2-A413-A348-932F-68ADAE7DC339}"/>
    <hyperlink ref="A52" r:id="rId169" display="javascript:chartPopup('NIFTY', 'OPTIDX', '24DEC2020', '12250.00','CE','NIFTY 50');" xr:uid="{2485EAFD-BC73-7C4A-B7A6-AC7C04CCC31B}"/>
    <hyperlink ref="L52" r:id="rId170" display="/live_market/dynaContent/live_watch/option_chain/optionDates.jsp?symbol=NIFTY&amp;instrument=OPTIDX&amp;strike=12250.00" xr:uid="{641BD1E1-D063-DF46-A7F6-6543CBE2212C}"/>
    <hyperlink ref="R52" r:id="rId171" display="/live_market/dynaContent/live_watch/get_quote/GetQuoteFO.jsp?underlying=NIFTY&amp;instrument=OPTIDX&amp;strike=12250.00&amp;type=PE&amp;expiry=24DEC2020" xr:uid="{3A63015A-53F8-FA45-84AE-FF227D00ED45}"/>
    <hyperlink ref="W52" r:id="rId172" display="javascript:chartPopup('NIFTY', 'OPTIDX', '24DEC2020', '12250.00','PE','NIFTY 50');" xr:uid="{BAEE36BD-2E74-274B-AA2D-AF55F954C846}"/>
    <hyperlink ref="A53" r:id="rId173" display="javascript:chartPopup('NIFTY', 'OPTIDX', '24DEC2020', '12300.00','CE','NIFTY 50');" xr:uid="{F2CCF08F-E7BB-1C4B-B610-29873AFA5E5C}"/>
    <hyperlink ref="F53" r:id="rId174" display="/live_market/dynaContent/live_watch/get_quote/GetQuoteFO.jsp?underlying=NIFTY&amp;instrument=OPTIDX&amp;strike=12300.00&amp;type=CE&amp;expiry=24DEC2020" xr:uid="{41B95D6B-274B-7A42-ADFF-3684C24B6F45}"/>
    <hyperlink ref="L53" r:id="rId175" display="/live_market/dynaContent/live_watch/option_chain/optionDates.jsp?symbol=NIFTY&amp;instrument=OPTIDX&amp;strike=12300.00" xr:uid="{8B1BD9B2-84C0-884A-8C46-21CBE6E9D799}"/>
    <hyperlink ref="R53" r:id="rId176" display="/live_market/dynaContent/live_watch/get_quote/GetQuoteFO.jsp?underlying=NIFTY&amp;instrument=OPTIDX&amp;strike=12300.00&amp;type=PE&amp;expiry=24DEC2020" xr:uid="{351FA4F9-AEC3-5F4E-8F77-A91B1C20D124}"/>
    <hyperlink ref="W53" r:id="rId177" display="javascript:chartPopup('NIFTY', 'OPTIDX', '24DEC2020', '12300.00','PE','NIFTY 50');" xr:uid="{14BC4738-5B8D-0247-B64A-F8AAB62F270F}"/>
    <hyperlink ref="A54" r:id="rId178" display="javascript:chartPopup('NIFTY', 'OPTIDX', '24DEC2020', '12350.00','CE','NIFTY 50');" xr:uid="{AC229662-8D8D-DA4E-BF36-8D5E1C28566C}"/>
    <hyperlink ref="L54" r:id="rId179" display="/live_market/dynaContent/live_watch/option_chain/optionDates.jsp?symbol=NIFTY&amp;instrument=OPTIDX&amp;strike=12350.00" xr:uid="{1D75EBD8-78F3-FE4E-BD3B-3D80F1DCD757}"/>
    <hyperlink ref="R54" r:id="rId180" display="/live_market/dynaContent/live_watch/get_quote/GetQuoteFO.jsp?underlying=NIFTY&amp;instrument=OPTIDX&amp;strike=12350.00&amp;type=PE&amp;expiry=24DEC2020" xr:uid="{8B928F57-BADC-004B-97C4-F2E9013EA6D5}"/>
    <hyperlink ref="W54" r:id="rId181" display="javascript:chartPopup('NIFTY', 'OPTIDX', '24DEC2020', '12350.00','PE','NIFTY 50');" xr:uid="{0877A423-90DB-874F-8A47-C673F96DDA61}"/>
    <hyperlink ref="A55" r:id="rId182" display="javascript:chartPopup('NIFTY', 'OPTIDX', '24DEC2020', '12400.00','CE','NIFTY 50');" xr:uid="{EA92DE69-F260-1F40-953F-984AE347202B}"/>
    <hyperlink ref="F55" r:id="rId183" display="/live_market/dynaContent/live_watch/get_quote/GetQuoteFO.jsp?underlying=NIFTY&amp;instrument=OPTIDX&amp;strike=12400.00&amp;type=CE&amp;expiry=24DEC2020" xr:uid="{96A567DC-9DEB-7340-B69A-B5C97EDD0343}"/>
    <hyperlink ref="L55" r:id="rId184" display="/live_market/dynaContent/live_watch/option_chain/optionDates.jsp?symbol=NIFTY&amp;instrument=OPTIDX&amp;strike=12400.00" xr:uid="{A111FFEC-B661-D54E-9663-8C2A880AA03C}"/>
    <hyperlink ref="R55" r:id="rId185" display="/live_market/dynaContent/live_watch/get_quote/GetQuoteFO.jsp?underlying=NIFTY&amp;instrument=OPTIDX&amp;strike=12400.00&amp;type=PE&amp;expiry=24DEC2020" xr:uid="{8DA1778D-B987-C147-9211-A4B1F59A72AF}"/>
    <hyperlink ref="W55" r:id="rId186" display="javascript:chartPopup('NIFTY', 'OPTIDX', '24DEC2020', '12400.00','PE','NIFTY 50');" xr:uid="{B4DBBD30-69FF-A440-B1CB-CFF05C1C8C05}"/>
    <hyperlink ref="A56" r:id="rId187" display="javascript:chartPopup('NIFTY', 'OPTIDX', '24DEC2020', '12450.00','CE','NIFTY 50');" xr:uid="{ABD9CAB2-38A8-7A41-AAF3-B4E289BF7B00}"/>
    <hyperlink ref="F56" r:id="rId188" display="/live_market/dynaContent/live_watch/get_quote/GetQuoteFO.jsp?underlying=NIFTY&amp;instrument=OPTIDX&amp;strike=12450.00&amp;type=CE&amp;expiry=24DEC2020" xr:uid="{76917AFB-9C97-1443-8007-D41368AB14B7}"/>
    <hyperlink ref="L56" r:id="rId189" display="/live_market/dynaContent/live_watch/option_chain/optionDates.jsp?symbol=NIFTY&amp;instrument=OPTIDX&amp;strike=12450.00" xr:uid="{373A8403-7BCB-6949-AE97-D1913546C7D4}"/>
    <hyperlink ref="R56" r:id="rId190" display="/live_market/dynaContent/live_watch/get_quote/GetQuoteFO.jsp?underlying=NIFTY&amp;instrument=OPTIDX&amp;strike=12450.00&amp;type=PE&amp;expiry=24DEC2020" xr:uid="{5E26A7A8-5CEA-8847-8BAB-822A1DB72084}"/>
    <hyperlink ref="W56" r:id="rId191" display="javascript:chartPopup('NIFTY', 'OPTIDX', '24DEC2020', '12450.00','PE','NIFTY 50');" xr:uid="{FEEFB796-36DB-2045-829D-6C8DBABAABB9}"/>
    <hyperlink ref="A57" r:id="rId192" display="javascript:chartPopup('NIFTY', 'OPTIDX', '24DEC2020', '12500.00','CE','NIFTY 50');" xr:uid="{99F78193-9A59-3A47-88A5-14CFF21E43B7}"/>
    <hyperlink ref="F57" r:id="rId193" display="/live_market/dynaContent/live_watch/get_quote/GetQuoteFO.jsp?underlying=NIFTY&amp;instrument=OPTIDX&amp;strike=12500.00&amp;type=CE&amp;expiry=24DEC2020" xr:uid="{E1BAE6B9-497F-B148-B348-75F494FF52CE}"/>
    <hyperlink ref="L57" r:id="rId194" display="/live_market/dynaContent/live_watch/option_chain/optionDates.jsp?symbol=NIFTY&amp;instrument=OPTIDX&amp;strike=12500.00" xr:uid="{77E957F0-D99B-F843-88D8-D02CC9066967}"/>
    <hyperlink ref="R57" r:id="rId195" display="/live_market/dynaContent/live_watch/get_quote/GetQuoteFO.jsp?underlying=NIFTY&amp;instrument=OPTIDX&amp;strike=12500.00&amp;type=PE&amp;expiry=24DEC2020" xr:uid="{66089F3C-EC7A-2344-B84D-B689B6B3C9B9}"/>
    <hyperlink ref="W57" r:id="rId196" display="javascript:chartPopup('NIFTY', 'OPTIDX', '24DEC2020', '12500.00','PE','NIFTY 50');" xr:uid="{FE31FB2B-D929-2F4B-B608-0D5A3549FB7F}"/>
    <hyperlink ref="A58" r:id="rId197" display="javascript:chartPopup('NIFTY', 'OPTIDX', '24DEC2020', '12550.00','CE','NIFTY 50');" xr:uid="{57E1A1A7-91A0-6048-921F-87B77CE8B8F8}"/>
    <hyperlink ref="L58" r:id="rId198" display="/live_market/dynaContent/live_watch/option_chain/optionDates.jsp?symbol=NIFTY&amp;instrument=OPTIDX&amp;strike=12550.00" xr:uid="{3156841D-C0A7-AC43-AE54-71F90603A516}"/>
    <hyperlink ref="R58" r:id="rId199" display="/live_market/dynaContent/live_watch/get_quote/GetQuoteFO.jsp?underlying=NIFTY&amp;instrument=OPTIDX&amp;strike=12550.00&amp;type=PE&amp;expiry=24DEC2020" xr:uid="{54E5134D-FA21-964A-B84D-D36100703983}"/>
    <hyperlink ref="W58" r:id="rId200" display="javascript:chartPopup('NIFTY', 'OPTIDX', '24DEC2020', '12550.00','PE','NIFTY 50');" xr:uid="{73C55981-11F9-B145-9CB2-52ACB2DFA994}"/>
    <hyperlink ref="A59" r:id="rId201" display="javascript:chartPopup('NIFTY', 'OPTIDX', '24DEC2020', '12600.00','CE','NIFTY 50');" xr:uid="{493D52EF-FB1B-B147-98BF-4FCCF90BB174}"/>
    <hyperlink ref="F59" r:id="rId202" display="/live_market/dynaContent/live_watch/get_quote/GetQuoteFO.jsp?underlying=NIFTY&amp;instrument=OPTIDX&amp;strike=12600.00&amp;type=CE&amp;expiry=24DEC2020" xr:uid="{83FA7CA5-60FA-BE47-8456-A499FDD3FBC2}"/>
    <hyperlink ref="L59" r:id="rId203" display="/live_market/dynaContent/live_watch/option_chain/optionDates.jsp?symbol=NIFTY&amp;instrument=OPTIDX&amp;strike=12600.00" xr:uid="{4D4A0B82-1325-BA4B-9A8C-6118DC131793}"/>
    <hyperlink ref="R59" r:id="rId204" display="/live_market/dynaContent/live_watch/get_quote/GetQuoteFO.jsp?underlying=NIFTY&amp;instrument=OPTIDX&amp;strike=12600.00&amp;type=PE&amp;expiry=24DEC2020" xr:uid="{34920B24-AA27-DF4D-98FA-182C9B3650FA}"/>
    <hyperlink ref="W59" r:id="rId205" display="javascript:chartPopup('NIFTY', 'OPTIDX', '24DEC2020', '12600.00','PE','NIFTY 50');" xr:uid="{BF6F1B47-4BEB-DB4A-88B9-96F7BE280033}"/>
    <hyperlink ref="A60" r:id="rId206" display="javascript:chartPopup('NIFTY', 'OPTIDX', '24DEC2020', '12650.00','CE','NIFTY 50');" xr:uid="{6822D773-9227-614B-81EE-9962B037FDFC}"/>
    <hyperlink ref="L60" r:id="rId207" display="/live_market/dynaContent/live_watch/option_chain/optionDates.jsp?symbol=NIFTY&amp;instrument=OPTIDX&amp;strike=12650.00" xr:uid="{EDACB54B-7CD0-4B49-B044-801896DD4E8C}"/>
    <hyperlink ref="R60" r:id="rId208" display="/live_market/dynaContent/live_watch/get_quote/GetQuoteFO.jsp?underlying=NIFTY&amp;instrument=OPTIDX&amp;strike=12650.00&amp;type=PE&amp;expiry=24DEC2020" xr:uid="{D880BD02-0E05-524A-9F59-0B5684A69340}"/>
    <hyperlink ref="W60" r:id="rId209" display="javascript:chartPopup('NIFTY', 'OPTIDX', '24DEC2020', '12650.00','PE','NIFTY 50');" xr:uid="{1DE640E6-2D42-4B4F-8FD3-1F8EC4CA7A28}"/>
    <hyperlink ref="A61" r:id="rId210" display="javascript:chartPopup('NIFTY', 'OPTIDX', '24DEC2020', '12700.00','CE','NIFTY 50');" xr:uid="{4B3BC5CB-64E2-4144-A7D0-70B00E647B1E}"/>
    <hyperlink ref="F61" r:id="rId211" display="/live_market/dynaContent/live_watch/get_quote/GetQuoteFO.jsp?underlying=NIFTY&amp;instrument=OPTIDX&amp;strike=12700.00&amp;type=CE&amp;expiry=24DEC2020" xr:uid="{7F3E1616-3ADF-E947-BEC8-4CB8E6719ADB}"/>
    <hyperlink ref="L61" r:id="rId212" display="/live_market/dynaContent/live_watch/option_chain/optionDates.jsp?symbol=NIFTY&amp;instrument=OPTIDX&amp;strike=12700.00" xr:uid="{24249594-2B7B-4442-80C9-4BBA5D9CBC62}"/>
    <hyperlink ref="R61" r:id="rId213" display="/live_market/dynaContent/live_watch/get_quote/GetQuoteFO.jsp?underlying=NIFTY&amp;instrument=OPTIDX&amp;strike=12700.00&amp;type=PE&amp;expiry=24DEC2020" xr:uid="{75289662-121A-D34F-99F7-D5A978BE1071}"/>
    <hyperlink ref="W61" r:id="rId214" display="javascript:chartPopup('NIFTY', 'OPTIDX', '24DEC2020', '12700.00','PE','NIFTY 50');" xr:uid="{DF32BC26-BFE7-D941-8073-E28E060E8EC9}"/>
    <hyperlink ref="A62" r:id="rId215" display="javascript:chartPopup('NIFTY', 'OPTIDX', '24DEC2020', '12750.00','CE','NIFTY 50');" xr:uid="{27786C5A-0F1B-0243-9BAD-33F9F60BEF6F}"/>
    <hyperlink ref="F62" r:id="rId216" display="/live_market/dynaContent/live_watch/get_quote/GetQuoteFO.jsp?underlying=NIFTY&amp;instrument=OPTIDX&amp;strike=12750.00&amp;type=CE&amp;expiry=24DEC2020" xr:uid="{67FCF0C4-430C-A748-9C77-456DBF3B35F2}"/>
    <hyperlink ref="L62" r:id="rId217" display="/live_market/dynaContent/live_watch/option_chain/optionDates.jsp?symbol=NIFTY&amp;instrument=OPTIDX&amp;strike=12750.00" xr:uid="{045F5740-2E8A-204E-AAEB-98FC009BF2DF}"/>
    <hyperlink ref="R62" r:id="rId218" display="/live_market/dynaContent/live_watch/get_quote/GetQuoteFO.jsp?underlying=NIFTY&amp;instrument=OPTIDX&amp;strike=12750.00&amp;type=PE&amp;expiry=24DEC2020" xr:uid="{29874C9E-7DB6-4F46-AFD1-9C952FC4E09F}"/>
    <hyperlink ref="W62" r:id="rId219" display="javascript:chartPopup('NIFTY', 'OPTIDX', '24DEC2020', '12750.00','PE','NIFTY 50');" xr:uid="{C3F9EEA1-0801-9D4E-8416-50C59F95C67A}"/>
    <hyperlink ref="A63" r:id="rId220" display="javascript:chartPopup('NIFTY', 'OPTIDX', '24DEC2020', '12800.00','CE','NIFTY 50');" xr:uid="{2F5E15EE-1FDD-C24F-8337-BD6FCDD8ACF9}"/>
    <hyperlink ref="F63" r:id="rId221" display="/live_market/dynaContent/live_watch/get_quote/GetQuoteFO.jsp?underlying=NIFTY&amp;instrument=OPTIDX&amp;strike=12800.00&amp;type=CE&amp;expiry=24DEC2020" xr:uid="{EC51A536-3499-3346-BEC2-011A4973F9AF}"/>
    <hyperlink ref="L63" r:id="rId222" display="/live_market/dynaContent/live_watch/option_chain/optionDates.jsp?symbol=NIFTY&amp;instrument=OPTIDX&amp;strike=12800.00" xr:uid="{800F5269-FBAA-204D-BB9E-C8B29735D51F}"/>
    <hyperlink ref="R63" r:id="rId223" display="/live_market/dynaContent/live_watch/get_quote/GetQuoteFO.jsp?underlying=NIFTY&amp;instrument=OPTIDX&amp;strike=12800.00&amp;type=PE&amp;expiry=24DEC2020" xr:uid="{BCE3B9CF-C276-1A4F-A155-53497DB2593C}"/>
    <hyperlink ref="W63" r:id="rId224" display="javascript:chartPopup('NIFTY', 'OPTIDX', '24DEC2020', '12800.00','PE','NIFTY 50');" xr:uid="{2B2DCD53-BFA0-2946-8DE4-837D02E93945}"/>
    <hyperlink ref="A64" r:id="rId225" display="javascript:chartPopup('NIFTY', 'OPTIDX', '24DEC2020', '12850.00','CE','NIFTY 50');" xr:uid="{FE587620-3152-B04A-897C-2AD48FF43EC9}"/>
    <hyperlink ref="F64" r:id="rId226" display="/live_market/dynaContent/live_watch/get_quote/GetQuoteFO.jsp?underlying=NIFTY&amp;instrument=OPTIDX&amp;strike=12850.00&amp;type=CE&amp;expiry=24DEC2020" xr:uid="{FB033569-E504-C84C-95F4-316CA9675D38}"/>
    <hyperlink ref="L64" r:id="rId227" display="/live_market/dynaContent/live_watch/option_chain/optionDates.jsp?symbol=NIFTY&amp;instrument=OPTIDX&amp;strike=12850.00" xr:uid="{AF8C03BD-4066-EE4B-913D-15EEA0374F6B}"/>
    <hyperlink ref="R64" r:id="rId228" display="/live_market/dynaContent/live_watch/get_quote/GetQuoteFO.jsp?underlying=NIFTY&amp;instrument=OPTIDX&amp;strike=12850.00&amp;type=PE&amp;expiry=24DEC2020" xr:uid="{CF793F8B-8138-9946-BFAC-C8AB6A97A569}"/>
    <hyperlink ref="W64" r:id="rId229" display="javascript:chartPopup('NIFTY', 'OPTIDX', '24DEC2020', '12850.00','PE','NIFTY 50');" xr:uid="{13FE73DA-984D-D045-91F7-D1D035FB4B46}"/>
    <hyperlink ref="A65" r:id="rId230" display="javascript:chartPopup('NIFTY', 'OPTIDX', '24DEC2020', '12900.00','CE','NIFTY 50');" xr:uid="{1B8FA143-5E80-C343-8C9E-D0A1CD267A51}"/>
    <hyperlink ref="F65" r:id="rId231" display="/live_market/dynaContent/live_watch/get_quote/GetQuoteFO.jsp?underlying=NIFTY&amp;instrument=OPTIDX&amp;strike=12900.00&amp;type=CE&amp;expiry=24DEC2020" xr:uid="{AB4AB98E-730E-EB46-9659-82EDF02817C6}"/>
    <hyperlink ref="L65" r:id="rId232" display="/live_market/dynaContent/live_watch/option_chain/optionDates.jsp?symbol=NIFTY&amp;instrument=OPTIDX&amp;strike=12900.00" xr:uid="{11CF209F-303E-9041-9353-6F41A52D7F19}"/>
    <hyperlink ref="R65" r:id="rId233" display="/live_market/dynaContent/live_watch/get_quote/GetQuoteFO.jsp?underlying=NIFTY&amp;instrument=OPTIDX&amp;strike=12900.00&amp;type=PE&amp;expiry=24DEC2020" xr:uid="{3DD99C26-6F35-1145-9D9C-90DE46D09FAE}"/>
    <hyperlink ref="W65" r:id="rId234" display="javascript:chartPopup('NIFTY', 'OPTIDX', '24DEC2020', '12900.00','PE','NIFTY 50');" xr:uid="{C7339F58-92BF-9B4E-B969-65744B34F389}"/>
    <hyperlink ref="A66" r:id="rId235" display="javascript:chartPopup('NIFTY', 'OPTIDX', '24DEC2020', '12950.00','CE','NIFTY 50');" xr:uid="{E6DACACA-A6AB-7540-A8D1-737C3F2EDEE9}"/>
    <hyperlink ref="F66" r:id="rId236" display="/live_market/dynaContent/live_watch/get_quote/GetQuoteFO.jsp?underlying=NIFTY&amp;instrument=OPTIDX&amp;strike=12950.00&amp;type=CE&amp;expiry=24DEC2020" xr:uid="{E5C516EC-2660-834B-9F2E-002F476B5C70}"/>
    <hyperlink ref="L66" r:id="rId237" display="/live_market/dynaContent/live_watch/option_chain/optionDates.jsp?symbol=NIFTY&amp;instrument=OPTIDX&amp;strike=12950.00" xr:uid="{E2847F00-CA60-9544-B6D7-4D968289BF48}"/>
    <hyperlink ref="R66" r:id="rId238" display="/live_market/dynaContent/live_watch/get_quote/GetQuoteFO.jsp?underlying=NIFTY&amp;instrument=OPTIDX&amp;strike=12950.00&amp;type=PE&amp;expiry=24DEC2020" xr:uid="{810944D4-5051-1C40-AD02-BC4828F38790}"/>
    <hyperlink ref="W66" r:id="rId239" display="javascript:chartPopup('NIFTY', 'OPTIDX', '24DEC2020', '12950.00','PE','NIFTY 50');" xr:uid="{F435596D-1934-2643-BF01-19AC31E6EFEC}"/>
    <hyperlink ref="A67" r:id="rId240" display="javascript:chartPopup('NIFTY', 'OPTIDX', '24DEC2020', '13000.00','CE','NIFTY 50');" xr:uid="{4246A543-8224-0B4C-9FE3-8C633FBF4EEE}"/>
    <hyperlink ref="F67" r:id="rId241" display="/live_market/dynaContent/live_watch/get_quote/GetQuoteFO.jsp?underlying=NIFTY&amp;instrument=OPTIDX&amp;strike=13000.00&amp;type=CE&amp;expiry=24DEC2020" xr:uid="{55DB8C5C-A708-544E-ACAF-DEAE28F798C5}"/>
    <hyperlink ref="L67" r:id="rId242" display="/live_market/dynaContent/live_watch/option_chain/optionDates.jsp?symbol=NIFTY&amp;instrument=OPTIDX&amp;strike=13000.00" xr:uid="{202D28D0-D7AF-6549-9435-E479B783B9D1}"/>
    <hyperlink ref="R67" r:id="rId243" display="/live_market/dynaContent/live_watch/get_quote/GetQuoteFO.jsp?underlying=NIFTY&amp;instrument=OPTIDX&amp;strike=13000.00&amp;type=PE&amp;expiry=24DEC2020" xr:uid="{896DCF5A-F4BF-164B-BD20-079514B77D80}"/>
    <hyperlink ref="W67" r:id="rId244" display="javascript:chartPopup('NIFTY', 'OPTIDX', '24DEC2020', '13000.00','PE','NIFTY 50');" xr:uid="{439AA184-BEF9-AB42-B78A-0C453F5F4CDB}"/>
    <hyperlink ref="A68" r:id="rId245" display="javascript:chartPopup('NIFTY', 'OPTIDX', '24DEC2020', '13050.00','CE','NIFTY 50');" xr:uid="{ED2CE1B3-613D-BE40-9532-40D917CCBBEF}"/>
    <hyperlink ref="F68" r:id="rId246" display="/live_market/dynaContent/live_watch/get_quote/GetQuoteFO.jsp?underlying=NIFTY&amp;instrument=OPTIDX&amp;strike=13050.00&amp;type=CE&amp;expiry=24DEC2020" xr:uid="{A049B1C0-C07D-5C49-AFFB-2D0B844643CC}"/>
    <hyperlink ref="L68" r:id="rId247" display="/live_market/dynaContent/live_watch/option_chain/optionDates.jsp?symbol=NIFTY&amp;instrument=OPTIDX&amp;strike=13050.00" xr:uid="{8027AF82-C46E-4143-A91A-0201CF44BFA6}"/>
    <hyperlink ref="R68" r:id="rId248" display="/live_market/dynaContent/live_watch/get_quote/GetQuoteFO.jsp?underlying=NIFTY&amp;instrument=OPTIDX&amp;strike=13050.00&amp;type=PE&amp;expiry=24DEC2020" xr:uid="{4BDC41BB-4341-F949-B8AC-511A385D1AF2}"/>
    <hyperlink ref="W68" r:id="rId249" display="javascript:chartPopup('NIFTY', 'OPTIDX', '24DEC2020', '13050.00','PE','NIFTY 50');" xr:uid="{03CC2AB7-F765-FD4B-ABE3-221D7F6FF9E6}"/>
    <hyperlink ref="A69" r:id="rId250" display="javascript:chartPopup('NIFTY', 'OPTIDX', '24DEC2020', '13100.00','CE','NIFTY 50');" xr:uid="{E53AF539-42A8-F044-B6B1-415D543624D6}"/>
    <hyperlink ref="F69" r:id="rId251" display="/live_market/dynaContent/live_watch/get_quote/GetQuoteFO.jsp?underlying=NIFTY&amp;instrument=OPTIDX&amp;strike=13100.00&amp;type=CE&amp;expiry=24DEC2020" xr:uid="{A3BEC658-CB20-AE46-9DCB-F030CAD2D7B8}"/>
    <hyperlink ref="L69" r:id="rId252" display="/live_market/dynaContent/live_watch/option_chain/optionDates.jsp?symbol=NIFTY&amp;instrument=OPTIDX&amp;strike=13100.00" xr:uid="{65D42DE0-4B20-194F-AAFC-D9CA7D4281BC}"/>
    <hyperlink ref="R69" r:id="rId253" display="/live_market/dynaContent/live_watch/get_quote/GetQuoteFO.jsp?underlying=NIFTY&amp;instrument=OPTIDX&amp;strike=13100.00&amp;type=PE&amp;expiry=24DEC2020" xr:uid="{39010096-31C8-F044-A443-4C66765AD7D4}"/>
    <hyperlink ref="W69" r:id="rId254" display="javascript:chartPopup('NIFTY', 'OPTIDX', '24DEC2020', '13100.00','PE','NIFTY 50');" xr:uid="{EA2FE7B7-D583-334B-8410-DDF6E7A12364}"/>
    <hyperlink ref="A70" r:id="rId255" display="javascript:chartPopup('NIFTY', 'OPTIDX', '24DEC2020', '13150.00','CE','NIFTY 50');" xr:uid="{5A867037-AF9E-DC4E-84C7-DE40521992C7}"/>
    <hyperlink ref="F70" r:id="rId256" display="/live_market/dynaContent/live_watch/get_quote/GetQuoteFO.jsp?underlying=NIFTY&amp;instrument=OPTIDX&amp;strike=13150.00&amp;type=CE&amp;expiry=24DEC2020" xr:uid="{EF6BB120-50D5-EF47-B68E-33F1AE5708C0}"/>
    <hyperlink ref="L70" r:id="rId257" display="/live_market/dynaContent/live_watch/option_chain/optionDates.jsp?symbol=NIFTY&amp;instrument=OPTIDX&amp;strike=13150.00" xr:uid="{3605D171-07A1-2541-8189-4A3C24E518CE}"/>
    <hyperlink ref="R70" r:id="rId258" display="/live_market/dynaContent/live_watch/get_quote/GetQuoteFO.jsp?underlying=NIFTY&amp;instrument=OPTIDX&amp;strike=13150.00&amp;type=PE&amp;expiry=24DEC2020" xr:uid="{A17559F4-39E5-3D4E-BDD2-178FCA08A535}"/>
    <hyperlink ref="W70" r:id="rId259" display="javascript:chartPopup('NIFTY', 'OPTIDX', '24DEC2020', '13150.00','PE','NIFTY 50');" xr:uid="{00CAA6D5-6B4C-A845-ADFD-D0F938546448}"/>
    <hyperlink ref="A71" r:id="rId260" display="javascript:chartPopup('NIFTY', 'OPTIDX', '24DEC2020', '13200.00','CE','NIFTY 50');" xr:uid="{203C407A-A735-314C-B27A-F6EC92539A24}"/>
    <hyperlink ref="F71" r:id="rId261" display="/live_market/dynaContent/live_watch/get_quote/GetQuoteFO.jsp?underlying=NIFTY&amp;instrument=OPTIDX&amp;strike=13200.00&amp;type=CE&amp;expiry=24DEC2020" xr:uid="{330FE085-CA8A-6543-AF2F-4FDE96A50955}"/>
    <hyperlink ref="L71" r:id="rId262" display="/live_market/dynaContent/live_watch/option_chain/optionDates.jsp?symbol=NIFTY&amp;instrument=OPTIDX&amp;strike=13200.00" xr:uid="{A0A1C673-BB0E-4A4C-83CA-345BA08D4C8D}"/>
    <hyperlink ref="R71" r:id="rId263" display="/live_market/dynaContent/live_watch/get_quote/GetQuoteFO.jsp?underlying=NIFTY&amp;instrument=OPTIDX&amp;strike=13200.00&amp;type=PE&amp;expiry=24DEC2020" xr:uid="{A7463079-BA5C-D24E-94ED-A1E47F6FA249}"/>
    <hyperlink ref="W71" r:id="rId264" display="javascript:chartPopup('NIFTY', 'OPTIDX', '24DEC2020', '13200.00','PE','NIFTY 50');" xr:uid="{00F43B1F-535B-1540-8013-C07A9FFF6286}"/>
    <hyperlink ref="A72" r:id="rId265" display="javascript:chartPopup('NIFTY', 'OPTIDX', '24DEC2020', '13250.00','CE','NIFTY 50');" xr:uid="{9D51EDB2-A93F-7A44-A657-807C13048616}"/>
    <hyperlink ref="F72" r:id="rId266" display="/live_market/dynaContent/live_watch/get_quote/GetQuoteFO.jsp?underlying=NIFTY&amp;instrument=OPTIDX&amp;strike=13250.00&amp;type=CE&amp;expiry=24DEC2020" xr:uid="{5EB4D60B-3F13-4648-8C17-08019CD5D10E}"/>
    <hyperlink ref="L72" r:id="rId267" display="/live_market/dynaContent/live_watch/option_chain/optionDates.jsp?symbol=NIFTY&amp;instrument=OPTIDX&amp;strike=13250.00" xr:uid="{5EB94757-FAC2-3B47-9EC1-E4A8312EA4FC}"/>
    <hyperlink ref="R72" r:id="rId268" display="/live_market/dynaContent/live_watch/get_quote/GetQuoteFO.jsp?underlying=NIFTY&amp;instrument=OPTIDX&amp;strike=13250.00&amp;type=PE&amp;expiry=24DEC2020" xr:uid="{DCA5BBD0-EB4E-D145-A0DC-4564EADFC727}"/>
    <hyperlink ref="W72" r:id="rId269" display="javascript:chartPopup('NIFTY', 'OPTIDX', '24DEC2020', '13250.00','PE','NIFTY 50');" xr:uid="{131B374D-B9C4-9E47-A58E-2ADF26B88AAC}"/>
    <hyperlink ref="A73" r:id="rId270" display="javascript:chartPopup('NIFTY', 'OPTIDX', '24DEC2020', '13300.00','CE','NIFTY 50');" xr:uid="{DDAE6A46-8E44-6A4A-BA1B-AB35E5DE1CCA}"/>
    <hyperlink ref="F73" r:id="rId271" display="/live_market/dynaContent/live_watch/get_quote/GetQuoteFO.jsp?underlying=NIFTY&amp;instrument=OPTIDX&amp;strike=13300.00&amp;type=CE&amp;expiry=24DEC2020" xr:uid="{D33EFE9F-E853-5F40-B665-B32A3DF9E750}"/>
    <hyperlink ref="L73" r:id="rId272" display="/live_market/dynaContent/live_watch/option_chain/optionDates.jsp?symbol=NIFTY&amp;instrument=OPTIDX&amp;strike=13300.00" xr:uid="{31B91AE4-8F13-5840-B371-D340DE94CFAB}"/>
    <hyperlink ref="R73" r:id="rId273" display="/live_market/dynaContent/live_watch/get_quote/GetQuoteFO.jsp?underlying=NIFTY&amp;instrument=OPTIDX&amp;strike=13300.00&amp;type=PE&amp;expiry=24DEC2020" xr:uid="{839A0281-5A9E-8442-BED4-62C44C781448}"/>
    <hyperlink ref="W73" r:id="rId274" display="javascript:chartPopup('NIFTY', 'OPTIDX', '24DEC2020', '13300.00','PE','NIFTY 50');" xr:uid="{F833C041-03B0-9642-B8D4-3FB0556A420D}"/>
    <hyperlink ref="A74" r:id="rId275" display="javascript:chartPopup('NIFTY', 'OPTIDX', '24DEC2020', '13350.00','CE','NIFTY 50');" xr:uid="{F6935A73-867C-1745-9382-F60F579FCD5D}"/>
    <hyperlink ref="F74" r:id="rId276" display="/live_market/dynaContent/live_watch/get_quote/GetQuoteFO.jsp?underlying=NIFTY&amp;instrument=OPTIDX&amp;strike=13350.00&amp;type=CE&amp;expiry=24DEC2020" xr:uid="{DBC52C8D-8E35-7248-8441-9E8BA6EDD81C}"/>
    <hyperlink ref="L74" r:id="rId277" display="/live_market/dynaContent/live_watch/option_chain/optionDates.jsp?symbol=NIFTY&amp;instrument=OPTIDX&amp;strike=13350.00" xr:uid="{E78DEAB8-8E10-414F-AB44-0DF3D68089FB}"/>
    <hyperlink ref="R74" r:id="rId278" display="/live_market/dynaContent/live_watch/get_quote/GetQuoteFO.jsp?underlying=NIFTY&amp;instrument=OPTIDX&amp;strike=13350.00&amp;type=PE&amp;expiry=24DEC2020" xr:uid="{EFC754C1-6FEA-B647-8C22-F2613A4E1FE8}"/>
    <hyperlink ref="W74" r:id="rId279" display="javascript:chartPopup('NIFTY', 'OPTIDX', '24DEC2020', '13350.00','PE','NIFTY 50');" xr:uid="{CF77FD11-9318-5845-A10A-9C377F05C5C1}"/>
    <hyperlink ref="A75" r:id="rId280" display="javascript:chartPopup('NIFTY', 'OPTIDX', '24DEC2020', '13400.00','CE','NIFTY 50');" xr:uid="{8A3D53F3-6B3D-CD47-BBD8-63C46D417ADA}"/>
    <hyperlink ref="F75" r:id="rId281" display="/live_market/dynaContent/live_watch/get_quote/GetQuoteFO.jsp?underlying=NIFTY&amp;instrument=OPTIDX&amp;strike=13400.00&amp;type=CE&amp;expiry=24DEC2020" xr:uid="{ABB83E95-EEB2-874E-90C6-FF718A0F22A1}"/>
    <hyperlink ref="L75" r:id="rId282" display="/live_market/dynaContent/live_watch/option_chain/optionDates.jsp?symbol=NIFTY&amp;instrument=OPTIDX&amp;strike=13400.00" xr:uid="{2457B7C3-EDEE-AA4A-A33C-26112355F934}"/>
    <hyperlink ref="R75" r:id="rId283" display="/live_market/dynaContent/live_watch/get_quote/GetQuoteFO.jsp?underlying=NIFTY&amp;instrument=OPTIDX&amp;strike=13400.00&amp;type=PE&amp;expiry=24DEC2020" xr:uid="{04F6AC20-5B7F-1E44-AF42-3F07AA66FAAE}"/>
    <hyperlink ref="W75" r:id="rId284" display="javascript:chartPopup('NIFTY', 'OPTIDX', '24DEC2020', '13400.00','PE','NIFTY 50');" xr:uid="{FF2B9936-B346-B34D-8232-647CF3FAB4BA}"/>
    <hyperlink ref="A76" r:id="rId285" display="javascript:chartPopup('NIFTY', 'OPTIDX', '24DEC2020', '13450.00','CE','NIFTY 50');" xr:uid="{2CDB8D16-800A-3A43-B73F-94106757F1AB}"/>
    <hyperlink ref="F76" r:id="rId286" display="/live_market/dynaContent/live_watch/get_quote/GetQuoteFO.jsp?underlying=NIFTY&amp;instrument=OPTIDX&amp;strike=13450.00&amp;type=CE&amp;expiry=24DEC2020" xr:uid="{786EBECC-D096-0A48-8414-802420CFA994}"/>
    <hyperlink ref="L76" r:id="rId287" display="/live_market/dynaContent/live_watch/option_chain/optionDates.jsp?symbol=NIFTY&amp;instrument=OPTIDX&amp;strike=13450.00" xr:uid="{E9EDCACB-F7C4-6A46-B66A-428E9683F581}"/>
    <hyperlink ref="R76" r:id="rId288" display="/live_market/dynaContent/live_watch/get_quote/GetQuoteFO.jsp?underlying=NIFTY&amp;instrument=OPTIDX&amp;strike=13450.00&amp;type=PE&amp;expiry=24DEC2020" xr:uid="{BCEBEAFD-CBD9-9C4C-B83F-E1AA7825B5D2}"/>
    <hyperlink ref="W76" r:id="rId289" display="javascript:chartPopup('NIFTY', 'OPTIDX', '24DEC2020', '13450.00','PE','NIFTY 50');" xr:uid="{8FFAFD96-8DCE-C24C-A707-C692B3848DC8}"/>
    <hyperlink ref="A77" r:id="rId290" display="javascript:chartPopup('NIFTY', 'OPTIDX', '24DEC2020', '13500.00','CE','NIFTY 50');" xr:uid="{200CA2AF-FE10-2140-8BD1-F3AE211D0204}"/>
    <hyperlink ref="F77" r:id="rId291" display="/live_market/dynaContent/live_watch/get_quote/GetQuoteFO.jsp?underlying=NIFTY&amp;instrument=OPTIDX&amp;strike=13500.00&amp;type=CE&amp;expiry=24DEC2020" xr:uid="{51AD88B8-A11F-E547-926D-6CFE1696FBBD}"/>
    <hyperlink ref="L77" r:id="rId292" display="/live_market/dynaContent/live_watch/option_chain/optionDates.jsp?symbol=NIFTY&amp;instrument=OPTIDX&amp;strike=13500.00" xr:uid="{1DCEF13B-F30C-A345-B8B8-12291688394B}"/>
    <hyperlink ref="R77" r:id="rId293" display="/live_market/dynaContent/live_watch/get_quote/GetQuoteFO.jsp?underlying=NIFTY&amp;instrument=OPTIDX&amp;strike=13500.00&amp;type=PE&amp;expiry=24DEC2020" xr:uid="{CED1ADDC-A46A-E242-BAED-5E0A7444D8A3}"/>
    <hyperlink ref="W77" r:id="rId294" display="javascript:chartPopup('NIFTY', 'OPTIDX', '24DEC2020', '13500.00','PE','NIFTY 50');" xr:uid="{C4036ED9-9D4D-AE45-B9A2-9298AFDAA5AB}"/>
    <hyperlink ref="A78" r:id="rId295" display="javascript:chartPopup('NIFTY', 'OPTIDX', '24DEC2020', '13550.00','CE','NIFTY 50');" xr:uid="{5ED2D979-B7A9-EF4F-85F7-CB71D2F871BE}"/>
    <hyperlink ref="F78" r:id="rId296" display="/live_market/dynaContent/live_watch/get_quote/GetQuoteFO.jsp?underlying=NIFTY&amp;instrument=OPTIDX&amp;strike=13550.00&amp;type=CE&amp;expiry=24DEC2020" xr:uid="{5DB6E30C-CCA0-FF44-B07F-EF06628D0FA9}"/>
    <hyperlink ref="L78" r:id="rId297" display="/live_market/dynaContent/live_watch/option_chain/optionDates.jsp?symbol=NIFTY&amp;instrument=OPTIDX&amp;strike=13550.00" xr:uid="{D26E1C61-77A4-044E-BC37-807AF5CEA209}"/>
    <hyperlink ref="R78" r:id="rId298" display="/live_market/dynaContent/live_watch/get_quote/GetQuoteFO.jsp?underlying=NIFTY&amp;instrument=OPTIDX&amp;strike=13550.00&amp;type=PE&amp;expiry=24DEC2020" xr:uid="{C0E03D6B-9D6C-FF4F-9BFF-446FBDE4F844}"/>
    <hyperlink ref="W78" r:id="rId299" display="javascript:chartPopup('NIFTY', 'OPTIDX', '24DEC2020', '13550.00','PE','NIFTY 50');" xr:uid="{BB526479-B27F-9442-8419-C800478FAE75}"/>
    <hyperlink ref="A79" r:id="rId300" display="javascript:chartPopup('NIFTY', 'OPTIDX', '24DEC2020', '13600.00','CE','NIFTY 50');" xr:uid="{EDCC2775-0E10-A142-9278-4F26803D8E32}"/>
    <hyperlink ref="F79" r:id="rId301" display="/live_market/dynaContent/live_watch/get_quote/GetQuoteFO.jsp?underlying=NIFTY&amp;instrument=OPTIDX&amp;strike=13600.00&amp;type=CE&amp;expiry=24DEC2020" xr:uid="{F86161B2-98C3-2A41-BAAC-500A09BDBE90}"/>
    <hyperlink ref="L79" r:id="rId302" display="/live_market/dynaContent/live_watch/option_chain/optionDates.jsp?symbol=NIFTY&amp;instrument=OPTIDX&amp;strike=13600.00" xr:uid="{0440744C-3A3D-1346-AA3C-CE596CAD766D}"/>
    <hyperlink ref="R79" r:id="rId303" display="/live_market/dynaContent/live_watch/get_quote/GetQuoteFO.jsp?underlying=NIFTY&amp;instrument=OPTIDX&amp;strike=13600.00&amp;type=PE&amp;expiry=24DEC2020" xr:uid="{9226DAD6-1190-F945-92FF-E85A8201698C}"/>
    <hyperlink ref="W79" r:id="rId304" display="javascript:chartPopup('NIFTY', 'OPTIDX', '24DEC2020', '13600.00','PE','NIFTY 50');" xr:uid="{AC96B235-1757-F846-99A6-D7F77A8ACE3E}"/>
    <hyperlink ref="A80" r:id="rId305" display="javascript:chartPopup('NIFTY', 'OPTIDX', '24DEC2020', '13650.00','CE','NIFTY 50');" xr:uid="{BC19D5D0-5ED6-6F43-B1FD-E3083808EA17}"/>
    <hyperlink ref="F80" r:id="rId306" display="/live_market/dynaContent/live_watch/get_quote/GetQuoteFO.jsp?underlying=NIFTY&amp;instrument=OPTIDX&amp;strike=13650.00&amp;type=CE&amp;expiry=24DEC2020" xr:uid="{B3EA7E50-74CA-414A-963F-7D3DEF3F3328}"/>
    <hyperlink ref="L80" r:id="rId307" display="/live_market/dynaContent/live_watch/option_chain/optionDates.jsp?symbol=NIFTY&amp;instrument=OPTIDX&amp;strike=13650.00" xr:uid="{D3BB3527-F53A-D544-9ACC-0122685B5650}"/>
    <hyperlink ref="R80" r:id="rId308" display="/live_market/dynaContent/live_watch/get_quote/GetQuoteFO.jsp?underlying=NIFTY&amp;instrument=OPTIDX&amp;strike=13650.00&amp;type=PE&amp;expiry=24DEC2020" xr:uid="{D66D8137-1C66-4949-84BE-842BE16133A0}"/>
    <hyperlink ref="W80" r:id="rId309" display="javascript:chartPopup('NIFTY', 'OPTIDX', '24DEC2020', '13650.00','PE','NIFTY 50');" xr:uid="{C359FA1E-8D65-D445-B322-F01F45AF9D4C}"/>
    <hyperlink ref="A81" r:id="rId310" display="javascript:chartPopup('NIFTY', 'OPTIDX', '24DEC2020', '13700.00','CE','NIFTY 50');" xr:uid="{2CE6EE50-5B42-224A-97AA-51DE58B91DED}"/>
    <hyperlink ref="F81" r:id="rId311" display="/live_market/dynaContent/live_watch/get_quote/GetQuoteFO.jsp?underlying=NIFTY&amp;instrument=OPTIDX&amp;strike=13700.00&amp;type=CE&amp;expiry=24DEC2020" xr:uid="{22D4402C-BF11-BB42-8D7E-3A2D6B7670F6}"/>
    <hyperlink ref="L81" r:id="rId312" display="/live_market/dynaContent/live_watch/option_chain/optionDates.jsp?symbol=NIFTY&amp;instrument=OPTIDX&amp;strike=13700.00" xr:uid="{23BA9D15-2D77-2644-B2B4-D593EA12B636}"/>
    <hyperlink ref="R81" r:id="rId313" display="/live_market/dynaContent/live_watch/get_quote/GetQuoteFO.jsp?underlying=NIFTY&amp;instrument=OPTIDX&amp;strike=13700.00&amp;type=PE&amp;expiry=24DEC2020" xr:uid="{EC89926C-1FFC-0E47-94E6-14149EC978DB}"/>
    <hyperlink ref="W81" r:id="rId314" display="javascript:chartPopup('NIFTY', 'OPTIDX', '24DEC2020', '13700.00','PE','NIFTY 50');" xr:uid="{F33DD025-FF22-4346-8C8C-6D6718A2BF6C}"/>
    <hyperlink ref="A82" r:id="rId315" display="javascript:chartPopup('NIFTY', 'OPTIDX', '24DEC2020', '13750.00','CE','NIFTY 50');" xr:uid="{8DD02A26-F6E5-5244-8D53-BCC2E193F8A0}"/>
    <hyperlink ref="F82" r:id="rId316" display="/live_market/dynaContent/live_watch/get_quote/GetQuoteFO.jsp?underlying=NIFTY&amp;instrument=OPTIDX&amp;strike=13750.00&amp;type=CE&amp;expiry=24DEC2020" xr:uid="{6763EC3D-3C7D-B246-8E00-8239E493C9D6}"/>
    <hyperlink ref="L82" r:id="rId317" display="/live_market/dynaContent/live_watch/option_chain/optionDates.jsp?symbol=NIFTY&amp;instrument=OPTIDX&amp;strike=13750.00" xr:uid="{3F4503CA-8FD7-B24D-9CC0-53B6A88C6635}"/>
    <hyperlink ref="R82" r:id="rId318" display="/live_market/dynaContent/live_watch/get_quote/GetQuoteFO.jsp?underlying=NIFTY&amp;instrument=OPTIDX&amp;strike=13750.00&amp;type=PE&amp;expiry=24DEC2020" xr:uid="{5548F750-3854-C84F-9DC2-84B8F825DC3E}"/>
    <hyperlink ref="W82" r:id="rId319" display="javascript:chartPopup('NIFTY', 'OPTIDX', '24DEC2020', '13750.00','PE','NIFTY 50');" xr:uid="{14B2B774-0CA6-BF41-AC4C-FC26F5F1B1B7}"/>
    <hyperlink ref="A83" r:id="rId320" display="javascript:chartPopup('NIFTY', 'OPTIDX', '24DEC2020', '13800.00','CE','NIFTY 50');" xr:uid="{3516B1C8-FDD3-E145-9D80-616073DD06CD}"/>
    <hyperlink ref="F83" r:id="rId321" display="/live_market/dynaContent/live_watch/get_quote/GetQuoteFO.jsp?underlying=NIFTY&amp;instrument=OPTIDX&amp;strike=13800.00&amp;type=CE&amp;expiry=24DEC2020" xr:uid="{0C3D2E55-6536-BA4F-BE7F-5FC3788C3C48}"/>
    <hyperlink ref="L83" r:id="rId322" display="/live_market/dynaContent/live_watch/option_chain/optionDates.jsp?symbol=NIFTY&amp;instrument=OPTIDX&amp;strike=13800.00" xr:uid="{CFBD8F1D-293B-A941-8070-8CB4921271AE}"/>
    <hyperlink ref="R83" r:id="rId323" display="/live_market/dynaContent/live_watch/get_quote/GetQuoteFO.jsp?underlying=NIFTY&amp;instrument=OPTIDX&amp;strike=13800.00&amp;type=PE&amp;expiry=24DEC2020" xr:uid="{5CB9D84D-1A1D-F943-B234-957B4EC70165}"/>
    <hyperlink ref="W83" r:id="rId324" display="javascript:chartPopup('NIFTY', 'OPTIDX', '24DEC2020', '13800.00','PE','NIFTY 50');" xr:uid="{5BEBA059-3B31-7643-8D98-3E2BF9759EBC}"/>
    <hyperlink ref="A84" r:id="rId325" display="javascript:chartPopup('NIFTY', 'OPTIDX', '24DEC2020', '13850.00','CE','NIFTY 50');" xr:uid="{6C9A5913-57DB-9C4E-9C74-05AA9615A7B4}"/>
    <hyperlink ref="F84" r:id="rId326" display="/live_market/dynaContent/live_watch/get_quote/GetQuoteFO.jsp?underlying=NIFTY&amp;instrument=OPTIDX&amp;strike=13850.00&amp;type=CE&amp;expiry=24DEC2020" xr:uid="{C373EBEB-39B2-6341-B0FC-45FDF09C99A0}"/>
    <hyperlink ref="L84" r:id="rId327" display="/live_market/dynaContent/live_watch/option_chain/optionDates.jsp?symbol=NIFTY&amp;instrument=OPTIDX&amp;strike=13850.00" xr:uid="{D99B278D-BFBC-6848-B91A-9C3B6492D5A1}"/>
    <hyperlink ref="R84" r:id="rId328" display="/live_market/dynaContent/live_watch/get_quote/GetQuoteFO.jsp?underlying=NIFTY&amp;instrument=OPTIDX&amp;strike=13850.00&amp;type=PE&amp;expiry=24DEC2020" xr:uid="{8C04B25E-6CB7-574E-A9D7-9E0231052E90}"/>
    <hyperlink ref="W84" r:id="rId329" display="javascript:chartPopup('NIFTY', 'OPTIDX', '24DEC2020', '13850.00','PE','NIFTY 50');" xr:uid="{DB69C1C6-41F5-DD42-B589-7EA04BC2117F}"/>
    <hyperlink ref="A85" r:id="rId330" display="javascript:chartPopup('NIFTY', 'OPTIDX', '24DEC2020', '13900.00','CE','NIFTY 50');" xr:uid="{F9D7F55B-CB4A-244A-9387-FD23A0E934AF}"/>
    <hyperlink ref="F85" r:id="rId331" display="/live_market/dynaContent/live_watch/get_quote/GetQuoteFO.jsp?underlying=NIFTY&amp;instrument=OPTIDX&amp;strike=13900.00&amp;type=CE&amp;expiry=24DEC2020" xr:uid="{26985256-3F44-5940-902A-79ED8E2C826C}"/>
    <hyperlink ref="L85" r:id="rId332" display="/live_market/dynaContent/live_watch/option_chain/optionDates.jsp?symbol=NIFTY&amp;instrument=OPTIDX&amp;strike=13900.00" xr:uid="{16A18056-DDCD-CD48-ADD6-5D5E21E0C422}"/>
    <hyperlink ref="R85" r:id="rId333" display="/live_market/dynaContent/live_watch/get_quote/GetQuoteFO.jsp?underlying=NIFTY&amp;instrument=OPTIDX&amp;strike=13900.00&amp;type=PE&amp;expiry=24DEC2020" xr:uid="{4AEB53ED-C903-234B-BB19-54AF739FE21B}"/>
    <hyperlink ref="W85" r:id="rId334" display="javascript:chartPopup('NIFTY', 'OPTIDX', '24DEC2020', '13900.00','PE','NIFTY 50');" xr:uid="{B5DC38E3-3AB9-EF4E-BEDF-FE6182126005}"/>
    <hyperlink ref="A86" r:id="rId335" display="javascript:chartPopup('NIFTY', 'OPTIDX', '24DEC2020', '13950.00','CE','NIFTY 50');" xr:uid="{11438562-853D-B245-9002-5CFCFF26A385}"/>
    <hyperlink ref="F86" r:id="rId336" display="/live_market/dynaContent/live_watch/get_quote/GetQuoteFO.jsp?underlying=NIFTY&amp;instrument=OPTIDX&amp;strike=13950.00&amp;type=CE&amp;expiry=24DEC2020" xr:uid="{E971DA52-0ACA-844C-ADD3-F404C4732E53}"/>
    <hyperlink ref="L86" r:id="rId337" display="/live_market/dynaContent/live_watch/option_chain/optionDates.jsp?symbol=NIFTY&amp;instrument=OPTIDX&amp;strike=13950.00" xr:uid="{6CD85D1C-E93D-9542-8F74-34246B635FF6}"/>
    <hyperlink ref="R86" r:id="rId338" display="/live_market/dynaContent/live_watch/get_quote/GetQuoteFO.jsp?underlying=NIFTY&amp;instrument=OPTIDX&amp;strike=13950.00&amp;type=PE&amp;expiry=24DEC2020" xr:uid="{D8FF6258-771C-0A47-9334-E39CF77D964F}"/>
    <hyperlink ref="W86" r:id="rId339" display="javascript:chartPopup('NIFTY', 'OPTIDX', '24DEC2020', '13950.00','PE','NIFTY 50');" xr:uid="{7B9A0994-4C0B-9349-85B4-BFC71D9334C5}"/>
    <hyperlink ref="A87" r:id="rId340" display="javascript:chartPopup('NIFTY', 'OPTIDX', '24DEC2020', '14000.00','CE','NIFTY 50');" xr:uid="{716944DC-2740-AB4D-A287-C28A755DD22C}"/>
    <hyperlink ref="F87" r:id="rId341" display="/live_market/dynaContent/live_watch/get_quote/GetQuoteFO.jsp?underlying=NIFTY&amp;instrument=OPTIDX&amp;strike=14000.00&amp;type=CE&amp;expiry=24DEC2020" xr:uid="{E3D3718B-6E14-CF49-8FE1-BFD146858205}"/>
    <hyperlink ref="L87" r:id="rId342" display="/live_market/dynaContent/live_watch/option_chain/optionDates.jsp?symbol=NIFTY&amp;instrument=OPTIDX&amp;strike=14000.00" xr:uid="{11374720-A86F-7E44-AC26-EBF2B4DA3E5E}"/>
    <hyperlink ref="R87" r:id="rId343" display="/live_market/dynaContent/live_watch/get_quote/GetQuoteFO.jsp?underlying=NIFTY&amp;instrument=OPTIDX&amp;strike=14000.00&amp;type=PE&amp;expiry=24DEC2020" xr:uid="{5797EDCE-C84F-2E40-823B-390FEAC12FA3}"/>
    <hyperlink ref="W87" r:id="rId344" display="javascript:chartPopup('NIFTY', 'OPTIDX', '24DEC2020', '14000.00','PE','NIFTY 50');" xr:uid="{EFB70D90-F252-BB4A-A9E5-1D740931DE01}"/>
    <hyperlink ref="A88" r:id="rId345" display="javascript:chartPopup('NIFTY', 'OPTIDX', '24DEC2020', '14050.00','CE','NIFTY 50');" xr:uid="{96021CDF-C1DA-0E4A-A600-5D355583798A}"/>
    <hyperlink ref="F88" r:id="rId346" display="/live_market/dynaContent/live_watch/get_quote/GetQuoteFO.jsp?underlying=NIFTY&amp;instrument=OPTIDX&amp;strike=14050.00&amp;type=CE&amp;expiry=24DEC2020" xr:uid="{E0DC74C9-9B89-D34B-91B4-E60B9ABF107C}"/>
    <hyperlink ref="L88" r:id="rId347" display="/live_market/dynaContent/live_watch/option_chain/optionDates.jsp?symbol=NIFTY&amp;instrument=OPTIDX&amp;strike=14050.00" xr:uid="{1E25FAEA-34B5-1A4B-9CF8-A4C590851B01}"/>
    <hyperlink ref="R88" r:id="rId348" display="/live_market/dynaContent/live_watch/get_quote/GetQuoteFO.jsp?underlying=NIFTY&amp;instrument=OPTIDX&amp;strike=14050.00&amp;type=PE&amp;expiry=24DEC2020" xr:uid="{E4ED3028-6BD9-414B-A2E9-DA4F2DFC5242}"/>
    <hyperlink ref="W88" r:id="rId349" display="javascript:chartPopup('NIFTY', 'OPTIDX', '24DEC2020', '14050.00','PE','NIFTY 50');" xr:uid="{FBCD3798-0604-A342-9B4D-33ADA3BB37A3}"/>
    <hyperlink ref="A89" r:id="rId350" display="javascript:chartPopup('NIFTY', 'OPTIDX', '24DEC2020', '14100.00','CE','NIFTY 50');" xr:uid="{788F9D31-D235-604E-8C84-39D8661C3A8F}"/>
    <hyperlink ref="F89" r:id="rId351" display="/live_market/dynaContent/live_watch/get_quote/GetQuoteFO.jsp?underlying=NIFTY&amp;instrument=OPTIDX&amp;strike=14100.00&amp;type=CE&amp;expiry=24DEC2020" xr:uid="{9F96F96B-F606-9F48-8889-6D43C087C36B}"/>
    <hyperlink ref="L89" r:id="rId352" display="/live_market/dynaContent/live_watch/option_chain/optionDates.jsp?symbol=NIFTY&amp;instrument=OPTIDX&amp;strike=14100.00" xr:uid="{52EBCCAC-61CB-A94F-88BC-C173748AA3DE}"/>
    <hyperlink ref="R89" r:id="rId353" display="/live_market/dynaContent/live_watch/get_quote/GetQuoteFO.jsp?underlying=NIFTY&amp;instrument=OPTIDX&amp;strike=14100.00&amp;type=PE&amp;expiry=24DEC2020" xr:uid="{BC3BFFAE-1271-6F43-92AF-86930EC2F695}"/>
    <hyperlink ref="W89" r:id="rId354" display="javascript:chartPopup('NIFTY', 'OPTIDX', '24DEC2020', '14100.00','PE','NIFTY 50');" xr:uid="{EF99437D-4DF9-4F4D-86CE-6278CD2528D1}"/>
    <hyperlink ref="A90" r:id="rId355" display="javascript:chartPopup('NIFTY', 'OPTIDX', '24DEC2020', '14150.00','CE','NIFTY 50');" xr:uid="{4E1A1AB0-2439-EA45-8AF3-636442CCD510}"/>
    <hyperlink ref="F90" r:id="rId356" display="/live_market/dynaContent/live_watch/get_quote/GetQuoteFO.jsp?underlying=NIFTY&amp;instrument=OPTIDX&amp;strike=14150.00&amp;type=CE&amp;expiry=24DEC2020" xr:uid="{96BA4302-9537-8F44-967A-AA6782DF3B70}"/>
    <hyperlink ref="L90" r:id="rId357" display="/live_market/dynaContent/live_watch/option_chain/optionDates.jsp?symbol=NIFTY&amp;instrument=OPTIDX&amp;strike=14150.00" xr:uid="{492BB21D-8B92-BE4D-8006-143BFFB7ACB6}"/>
    <hyperlink ref="W90" r:id="rId358" display="javascript:chartPopup('NIFTY', 'OPTIDX', '24DEC2020', '14150.00','PE','NIFTY 50');" xr:uid="{0F2AB25C-1FD5-0947-A524-E7F8F77D3F8D}"/>
    <hyperlink ref="A91" r:id="rId359" display="javascript:chartPopup('NIFTY', 'OPTIDX', '24DEC2020', '14200.00','CE','NIFTY 50');" xr:uid="{4B70B648-E109-9A4F-9484-5C63EEED7140}"/>
    <hyperlink ref="F91" r:id="rId360" display="/live_market/dynaContent/live_watch/get_quote/GetQuoteFO.jsp?underlying=NIFTY&amp;instrument=OPTIDX&amp;strike=14200.00&amp;type=CE&amp;expiry=24DEC2020" xr:uid="{9090CD13-0C53-C647-809A-A584EFA89D19}"/>
    <hyperlink ref="L91" r:id="rId361" display="/live_market/dynaContent/live_watch/option_chain/optionDates.jsp?symbol=NIFTY&amp;instrument=OPTIDX&amp;strike=14200.00" xr:uid="{0A88A21A-F24C-844D-A67F-8238A6149747}"/>
    <hyperlink ref="R91" r:id="rId362" display="/live_market/dynaContent/live_watch/get_quote/GetQuoteFO.jsp?underlying=NIFTY&amp;instrument=OPTIDX&amp;strike=14200.00&amp;type=PE&amp;expiry=24DEC2020" xr:uid="{F023F5A9-DE9C-394E-A5DF-58B3A281E70C}"/>
    <hyperlink ref="W91" r:id="rId363" display="javascript:chartPopup('NIFTY', 'OPTIDX', '24DEC2020', '14200.00','PE','NIFTY 50');" xr:uid="{9524ECEE-BFE2-2048-B661-DB44E1D3A938}"/>
    <hyperlink ref="A92" r:id="rId364" display="javascript:chartPopup('NIFTY', 'OPTIDX', '24DEC2020', '14250.00','CE','NIFTY 50');" xr:uid="{4B52E7C6-7B7B-0345-A442-12C9DBDB2C47}"/>
    <hyperlink ref="F92" r:id="rId365" display="/live_market/dynaContent/live_watch/get_quote/GetQuoteFO.jsp?underlying=NIFTY&amp;instrument=OPTIDX&amp;strike=14250.00&amp;type=CE&amp;expiry=24DEC2020" xr:uid="{6D37F339-0C0F-B54D-A60D-F7A4029B2A68}"/>
    <hyperlink ref="L92" r:id="rId366" display="/live_market/dynaContent/live_watch/option_chain/optionDates.jsp?symbol=NIFTY&amp;instrument=OPTIDX&amp;strike=14250.00" xr:uid="{390AD977-18D1-764E-949C-E32FB0107B64}"/>
    <hyperlink ref="W92" r:id="rId367" display="javascript:chartPopup('NIFTY', 'OPTIDX', '24DEC2020', '14250.00','PE','NIFTY 50');" xr:uid="{F935FB7F-3DBE-8546-9DD4-B3C82EBB8789}"/>
    <hyperlink ref="A93" r:id="rId368" display="javascript:chartPopup('NIFTY', 'OPTIDX', '24DEC2020', '14300.00','CE','NIFTY 50');" xr:uid="{1502EEBD-77EA-A346-B6F4-FB2337467F4C}"/>
    <hyperlink ref="F93" r:id="rId369" display="/live_market/dynaContent/live_watch/get_quote/GetQuoteFO.jsp?underlying=NIFTY&amp;instrument=OPTIDX&amp;strike=14300.00&amp;type=CE&amp;expiry=24DEC2020" xr:uid="{93509AB2-0368-AD4D-9360-628F219DBA2D}"/>
    <hyperlink ref="L93" r:id="rId370" display="/live_market/dynaContent/live_watch/option_chain/optionDates.jsp?symbol=NIFTY&amp;instrument=OPTIDX&amp;strike=14300.00" xr:uid="{CA6258EE-829F-BC45-8E6D-8639387D0F88}"/>
    <hyperlink ref="R93" r:id="rId371" display="/live_market/dynaContent/live_watch/get_quote/GetQuoteFO.jsp?underlying=NIFTY&amp;instrument=OPTIDX&amp;strike=14300.00&amp;type=PE&amp;expiry=24DEC2020" xr:uid="{0BC76F95-3BEB-1642-A786-A8BDAD53FFDB}"/>
    <hyperlink ref="W93" r:id="rId372" display="javascript:chartPopup('NIFTY', 'OPTIDX', '24DEC2020', '14300.00','PE','NIFTY 50');" xr:uid="{BFA31D14-2BF7-C94D-865C-0F1142C58E89}"/>
    <hyperlink ref="A94" r:id="rId373" display="javascript:chartPopup('NIFTY', 'OPTIDX', '24DEC2020', '14350.00','CE','NIFTY 50');" xr:uid="{1B933F46-EA4C-7F4F-BEF2-6F812C60A1EE}"/>
    <hyperlink ref="F94" r:id="rId374" display="/live_market/dynaContent/live_watch/get_quote/GetQuoteFO.jsp?underlying=NIFTY&amp;instrument=OPTIDX&amp;strike=14350.00&amp;type=CE&amp;expiry=24DEC2020" xr:uid="{A28A7DC0-520F-494C-A9FE-E83E148CFF58}"/>
    <hyperlink ref="L94" r:id="rId375" display="/live_market/dynaContent/live_watch/option_chain/optionDates.jsp?symbol=NIFTY&amp;instrument=OPTIDX&amp;strike=14350.00" xr:uid="{51BF90DF-C425-0145-B2B2-92408E70497C}"/>
    <hyperlink ref="W94" r:id="rId376" display="javascript:chartPopup('NIFTY', 'OPTIDX', '24DEC2020', '14350.00','PE','NIFTY 50');" xr:uid="{6A40D2D5-1D34-1047-B838-4286145E7917}"/>
    <hyperlink ref="A95" r:id="rId377" display="javascript:chartPopup('NIFTY', 'OPTIDX', '24DEC2020', '14400.00','CE','NIFTY 50');" xr:uid="{5CFFA991-E1C5-8048-91DF-D84C0E5A4FE0}"/>
    <hyperlink ref="F95" r:id="rId378" display="/live_market/dynaContent/live_watch/get_quote/GetQuoteFO.jsp?underlying=NIFTY&amp;instrument=OPTIDX&amp;strike=14400.00&amp;type=CE&amp;expiry=24DEC2020" xr:uid="{AB868165-40A2-054E-AA4D-7FF42D5E31AF}"/>
    <hyperlink ref="L95" r:id="rId379" display="/live_market/dynaContent/live_watch/option_chain/optionDates.jsp?symbol=NIFTY&amp;instrument=OPTIDX&amp;strike=14400.00" xr:uid="{325352BA-D22A-7B48-9122-8959884755AB}"/>
    <hyperlink ref="R95" r:id="rId380" display="/live_market/dynaContent/live_watch/get_quote/GetQuoteFO.jsp?underlying=NIFTY&amp;instrument=OPTIDX&amp;strike=14400.00&amp;type=PE&amp;expiry=24DEC2020" xr:uid="{4F7E2B1F-BDAE-E54F-8044-B3B930814A5A}"/>
    <hyperlink ref="W95" r:id="rId381" display="javascript:chartPopup('NIFTY', 'OPTIDX', '24DEC2020', '14400.00','PE','NIFTY 50');" xr:uid="{8E40AEA1-487D-9C45-91F6-7942034FEFE6}"/>
    <hyperlink ref="A96" r:id="rId382" display="javascript:chartPopup('NIFTY', 'OPTIDX', '24DEC2020', '14450.00','CE','NIFTY 50');" xr:uid="{CC996BD0-B197-864A-B662-FA65BA490CFA}"/>
    <hyperlink ref="F96" r:id="rId383" display="/live_market/dynaContent/live_watch/get_quote/GetQuoteFO.jsp?underlying=NIFTY&amp;instrument=OPTIDX&amp;strike=14450.00&amp;type=CE&amp;expiry=24DEC2020" xr:uid="{2DA90FE9-777F-134C-B61D-2768F4178AC2}"/>
    <hyperlink ref="L96" r:id="rId384" display="/live_market/dynaContent/live_watch/option_chain/optionDates.jsp?symbol=NIFTY&amp;instrument=OPTIDX&amp;strike=14450.00" xr:uid="{58E4EB72-86FD-0845-9264-D6953B0D414C}"/>
    <hyperlink ref="W96" r:id="rId385" display="javascript:chartPopup('NIFTY', 'OPTIDX', '24DEC2020', '14450.00','PE','NIFTY 50');" xr:uid="{BD86B781-5EE4-D54F-9372-191DA7658BCD}"/>
    <hyperlink ref="A97" r:id="rId386" display="javascript:chartPopup('NIFTY', 'OPTIDX', '24DEC2020', '14500.00','CE','NIFTY 50');" xr:uid="{4638061D-ECA2-C144-891B-4F9D89D0CCDF}"/>
    <hyperlink ref="F97" r:id="rId387" display="/live_market/dynaContent/live_watch/get_quote/GetQuoteFO.jsp?underlying=NIFTY&amp;instrument=OPTIDX&amp;strike=14500.00&amp;type=CE&amp;expiry=24DEC2020" xr:uid="{90F7C225-5E45-1C4D-8C44-9BCF9F1E3740}"/>
    <hyperlink ref="L97" r:id="rId388" display="/live_market/dynaContent/live_watch/option_chain/optionDates.jsp?symbol=NIFTY&amp;instrument=OPTIDX&amp;strike=14500.00" xr:uid="{F1AC7137-13E7-824E-ACC2-469C180777CF}"/>
    <hyperlink ref="R97" r:id="rId389" display="/live_market/dynaContent/live_watch/get_quote/GetQuoteFO.jsp?underlying=NIFTY&amp;instrument=OPTIDX&amp;strike=14500.00&amp;type=PE&amp;expiry=24DEC2020" xr:uid="{858ED270-A582-BA45-A2EE-8A66C1868ED4}"/>
    <hyperlink ref="W97" r:id="rId390" display="javascript:chartPopup('NIFTY', 'OPTIDX', '24DEC2020', '14500.00','PE','NIFTY 50');" xr:uid="{0C84E2A8-312D-E842-9C19-990A82607CE6}"/>
    <hyperlink ref="A98" r:id="rId391" display="javascript:chartPopup('NIFTY', 'OPTIDX', '24DEC2020', '14550.00','CE','NIFTY 50');" xr:uid="{5A2DFD7F-1B79-424C-BC3B-0A2AB1355061}"/>
    <hyperlink ref="F98" r:id="rId392" display="/live_market/dynaContent/live_watch/get_quote/GetQuoteFO.jsp?underlying=NIFTY&amp;instrument=OPTIDX&amp;strike=14550.00&amp;type=CE&amp;expiry=24DEC2020" xr:uid="{39582CE1-EE19-AD46-94EB-59AFB11AA14B}"/>
    <hyperlink ref="L98" r:id="rId393" display="/live_market/dynaContent/live_watch/option_chain/optionDates.jsp?symbol=NIFTY&amp;instrument=OPTIDX&amp;strike=14550.00" xr:uid="{35DCBCFD-EA0C-C24E-AA50-442FA19C30E0}"/>
    <hyperlink ref="W98" r:id="rId394" display="javascript:chartPopup('NIFTY', 'OPTIDX', '24DEC2020', '14550.00','PE','NIFTY 50');" xr:uid="{90EA13B1-DB49-2944-8E8B-9DBE6284964A}"/>
    <hyperlink ref="A99" r:id="rId395" display="javascript:chartPopup('NIFTY', 'OPTIDX', '24DEC2020', '14600.00','CE','NIFTY 50');" xr:uid="{1B85F48A-106B-9B45-A144-9F8B86C2D879}"/>
    <hyperlink ref="F99" r:id="rId396" display="/live_market/dynaContent/live_watch/get_quote/GetQuoteFO.jsp?underlying=NIFTY&amp;instrument=OPTIDX&amp;strike=14600.00&amp;type=CE&amp;expiry=24DEC2020" xr:uid="{B7298F81-C948-DA42-94FC-A0685C378E53}"/>
    <hyperlink ref="L99" r:id="rId397" display="/live_market/dynaContent/live_watch/option_chain/optionDates.jsp?symbol=NIFTY&amp;instrument=OPTIDX&amp;strike=14600.00" xr:uid="{81A0EBC5-7801-6640-B418-AC78E9446589}"/>
    <hyperlink ref="W99" r:id="rId398" display="javascript:chartPopup('NIFTY', 'OPTIDX', '24DEC2020', '14600.00','PE','NIFTY 50');" xr:uid="{64DAB2F8-8D5B-5846-AD82-4C3ECF77DF70}"/>
    <hyperlink ref="A100" r:id="rId399" display="javascript:chartPopup('NIFTY', 'OPTIDX', '24DEC2020', '14650.00','CE','NIFTY 50');" xr:uid="{E49F44BC-A32E-344E-B847-53CC1C308794}"/>
    <hyperlink ref="F100" r:id="rId400" display="/live_market/dynaContent/live_watch/get_quote/GetQuoteFO.jsp?underlying=NIFTY&amp;instrument=OPTIDX&amp;strike=14650.00&amp;type=CE&amp;expiry=24DEC2020" xr:uid="{12871C06-E629-E949-94DC-F3DF6A8E614C}"/>
    <hyperlink ref="L100" r:id="rId401" display="/live_market/dynaContent/live_watch/option_chain/optionDates.jsp?symbol=NIFTY&amp;instrument=OPTIDX&amp;strike=14650.00" xr:uid="{92EF19BA-C94F-F34B-AAAD-F93C1C683938}"/>
    <hyperlink ref="W100" r:id="rId402" display="javascript:chartPopup('NIFTY', 'OPTIDX', '24DEC2020', '14650.00','PE','NIFTY 50');" xr:uid="{DCDB4533-A5B8-4947-9F28-0F9C1C727459}"/>
    <hyperlink ref="A101" r:id="rId403" display="javascript:chartPopup('NIFTY', 'OPTIDX', '24DEC2020', '14700.00','CE','NIFTY 50');" xr:uid="{E5C983A4-910E-C343-930C-DBA346F35389}"/>
    <hyperlink ref="F101" r:id="rId404" display="/live_market/dynaContent/live_watch/get_quote/GetQuoteFO.jsp?underlying=NIFTY&amp;instrument=OPTIDX&amp;strike=14700.00&amp;type=CE&amp;expiry=24DEC2020" xr:uid="{93148992-7515-6C42-9E2D-9FCE1F32291D}"/>
    <hyperlink ref="L101" r:id="rId405" display="/live_market/dynaContent/live_watch/option_chain/optionDates.jsp?symbol=NIFTY&amp;instrument=OPTIDX&amp;strike=14700.00" xr:uid="{D81E2938-2608-0540-882D-2F15CC39C2B0}"/>
    <hyperlink ref="W101" r:id="rId406" display="javascript:chartPopup('NIFTY', 'OPTIDX', '24DEC2020', '14700.00','PE','NIFTY 50');" xr:uid="{D71FB957-C7B1-6B43-B36A-FFD61091D912}"/>
    <hyperlink ref="A102" r:id="rId407" display="javascript:chartPopup('NIFTY', 'OPTIDX', '24DEC2020', '14750.00','CE','NIFTY 50');" xr:uid="{2842EF06-A228-7449-B040-37CBE7E27945}"/>
    <hyperlink ref="F102" r:id="rId408" display="/live_market/dynaContent/live_watch/get_quote/GetQuoteFO.jsp?underlying=NIFTY&amp;instrument=OPTIDX&amp;strike=14750.00&amp;type=CE&amp;expiry=24DEC2020" xr:uid="{F97376B9-27C3-6C40-B073-D58CE3583D43}"/>
    <hyperlink ref="L102" r:id="rId409" display="/live_market/dynaContent/live_watch/option_chain/optionDates.jsp?symbol=NIFTY&amp;instrument=OPTIDX&amp;strike=14750.00" xr:uid="{E3B74B68-9274-C049-9CC8-63B2E4F85EA2}"/>
    <hyperlink ref="W102" r:id="rId410" display="javascript:chartPopup('NIFTY', 'OPTIDX', '24DEC2020', '14750.00','PE','NIFTY 50');" xr:uid="{978D828E-5DD8-8B4C-BD91-7FF79F54FBD2}"/>
    <hyperlink ref="A103" r:id="rId411" display="javascript:chartPopup('NIFTY', 'OPTIDX', '24DEC2020', '14800.00','CE','NIFTY 50');" xr:uid="{1D54CB99-6B2A-D34B-97C5-FD2C2756D1FE}"/>
    <hyperlink ref="F103" r:id="rId412" display="/live_market/dynaContent/live_watch/get_quote/GetQuoteFO.jsp?underlying=NIFTY&amp;instrument=OPTIDX&amp;strike=14800.00&amp;type=CE&amp;expiry=24DEC2020" xr:uid="{7839A8C7-9E05-B94E-A159-BA547CFF8F26}"/>
    <hyperlink ref="L103" r:id="rId413" display="/live_market/dynaContent/live_watch/option_chain/optionDates.jsp?symbol=NIFTY&amp;instrument=OPTIDX&amp;strike=14800.00" xr:uid="{1465AB64-3A5C-A248-98C0-84BFA893E393}"/>
    <hyperlink ref="W103" r:id="rId414" display="javascript:chartPopup('NIFTY', 'OPTIDX', '24DEC2020', '14800.00','PE','NIFTY 50');" xr:uid="{39141E86-7B46-9E49-9B30-5CE4813D6D10}"/>
    <hyperlink ref="A104" r:id="rId415" display="javascript:chartPopup('NIFTY', 'OPTIDX', '24DEC2020', '14850.00','CE','NIFTY 50');" xr:uid="{B7CA7289-FE8F-F645-9D4F-A7E685A951C0}"/>
    <hyperlink ref="F104" r:id="rId416" display="/live_market/dynaContent/live_watch/get_quote/GetQuoteFO.jsp?underlying=NIFTY&amp;instrument=OPTIDX&amp;strike=14850.00&amp;type=CE&amp;expiry=24DEC2020" xr:uid="{1C9159FE-19CA-0F4C-8F7E-3FF41CFAC788}"/>
    <hyperlink ref="L104" r:id="rId417" display="/live_market/dynaContent/live_watch/option_chain/optionDates.jsp?symbol=NIFTY&amp;instrument=OPTIDX&amp;strike=14850.00" xr:uid="{4A4BBF2C-FC71-3647-B1DD-95A825E71D9D}"/>
    <hyperlink ref="W104" r:id="rId418" display="javascript:chartPopup('NIFTY', 'OPTIDX', '24DEC2020', '14850.00','PE','NIFTY 50');" xr:uid="{EA88ACC3-80AF-E942-8BB0-1E8522AFBBE4}"/>
    <hyperlink ref="A105" r:id="rId419" display="javascript:chartPopup('NIFTY', 'OPTIDX', '24DEC2020', '14900.00','CE','NIFTY 50');" xr:uid="{71EA1EE2-824A-474F-9C74-913F270C3583}"/>
    <hyperlink ref="F105" r:id="rId420" display="/live_market/dynaContent/live_watch/get_quote/GetQuoteFO.jsp?underlying=NIFTY&amp;instrument=OPTIDX&amp;strike=14900.00&amp;type=CE&amp;expiry=24DEC2020" xr:uid="{2E4328CC-FE90-2145-AF75-80D0D31E38EC}"/>
    <hyperlink ref="L105" r:id="rId421" display="/live_market/dynaContent/live_watch/option_chain/optionDates.jsp?symbol=NIFTY&amp;instrument=OPTIDX&amp;strike=14900.00" xr:uid="{7835D037-9FDE-E545-A67F-9E1993D19BE8}"/>
    <hyperlink ref="W105" r:id="rId422" display="javascript:chartPopup('NIFTY', 'OPTIDX', '24DEC2020', '14900.00','PE','NIFTY 50');" xr:uid="{5885E48B-1F46-0C4F-B713-24483C9C3809}"/>
    <hyperlink ref="A106" r:id="rId423" display="javascript:chartPopup('NIFTY', 'OPTIDX', '24DEC2020', '14950.00','CE','NIFTY 50');" xr:uid="{B44E432D-996F-1E4F-8BC5-C5295463B20D}"/>
    <hyperlink ref="F106" r:id="rId424" display="/live_market/dynaContent/live_watch/get_quote/GetQuoteFO.jsp?underlying=NIFTY&amp;instrument=OPTIDX&amp;strike=14950.00&amp;type=CE&amp;expiry=24DEC2020" xr:uid="{8D9D9907-9841-5A47-8D4E-341B5A970B36}"/>
    <hyperlink ref="L106" r:id="rId425" display="/live_market/dynaContent/live_watch/option_chain/optionDates.jsp?symbol=NIFTY&amp;instrument=OPTIDX&amp;strike=14950.00" xr:uid="{7B10D888-7BA3-B84A-8014-41A45F05C33C}"/>
    <hyperlink ref="W106" r:id="rId426" display="javascript:chartPopup('NIFTY', 'OPTIDX', '24DEC2020', '14950.00','PE','NIFTY 50');" xr:uid="{291846F4-F185-CC4E-93A4-0CD8EAE474DE}"/>
    <hyperlink ref="A107" r:id="rId427" display="javascript:chartPopup('NIFTY', 'OPTIDX', '24DEC2020', '15000.00','CE','NIFTY 50');" xr:uid="{7089747D-66BE-554B-8D74-FF92D14CD45C}"/>
    <hyperlink ref="F107" r:id="rId428" display="/live_market/dynaContent/live_watch/get_quote/GetQuoteFO.jsp?underlying=NIFTY&amp;instrument=OPTIDX&amp;strike=15000.00&amp;type=CE&amp;expiry=24DEC2020" xr:uid="{71AD6A08-ADBA-1D46-BFDF-51DFC13C771F}"/>
    <hyperlink ref="L107" r:id="rId429" display="/live_market/dynaContent/live_watch/option_chain/optionDates.jsp?symbol=NIFTY&amp;instrument=OPTIDX&amp;strike=15000.00" xr:uid="{C16B9266-4642-A342-9EBD-6919CA8F8DCF}"/>
    <hyperlink ref="W107" r:id="rId430" display="javascript:chartPopup('NIFTY', 'OPTIDX', '24DEC2020', '15000.00','PE','NIFTY 50');" xr:uid="{CAA5EA81-0E63-C444-B629-0DFBC648D0CF}"/>
    <hyperlink ref="A108" r:id="rId431" display="javascript:chartPopup('NIFTY', 'OPTIDX', '24DEC2020', '15050.00','CE','NIFTY 50');" xr:uid="{61491274-79B3-CF41-B1E3-2866526A8012}"/>
    <hyperlink ref="F108" r:id="rId432" display="/live_market/dynaContent/live_watch/get_quote/GetQuoteFO.jsp?underlying=NIFTY&amp;instrument=OPTIDX&amp;strike=15050.00&amp;type=CE&amp;expiry=24DEC2020" xr:uid="{787840B6-D833-3149-B882-CDBFC137D444}"/>
    <hyperlink ref="L108" r:id="rId433" display="/live_market/dynaContent/live_watch/option_chain/optionDates.jsp?symbol=NIFTY&amp;instrument=OPTIDX&amp;strike=15050.00" xr:uid="{931C4EA6-6798-FA4A-8343-72665C24DC6D}"/>
    <hyperlink ref="W108" r:id="rId434" display="javascript:chartPopup('NIFTY', 'OPTIDX', '24DEC2020', '15050.00','PE','NIFTY 50');" xr:uid="{E2230EF9-48F3-A641-B798-B2FB37398689}"/>
    <hyperlink ref="A109" r:id="rId435" display="javascript:chartPopup('NIFTY', 'OPTIDX', '24DEC2020', '15100.00','CE','NIFTY 50');" xr:uid="{AF819028-BC20-7745-ABB0-3C2EF8774E33}"/>
    <hyperlink ref="F109" r:id="rId436" display="/live_market/dynaContent/live_watch/get_quote/GetQuoteFO.jsp?underlying=NIFTY&amp;instrument=OPTIDX&amp;strike=15100.00&amp;type=CE&amp;expiry=24DEC2020" xr:uid="{2FD34F56-68F9-B14A-9F45-5786EA0D2F3D}"/>
    <hyperlink ref="L109" r:id="rId437" display="/live_market/dynaContent/live_watch/option_chain/optionDates.jsp?symbol=NIFTY&amp;instrument=OPTIDX&amp;strike=15100.00" xr:uid="{34E4ED75-7693-C44F-A42D-654BFFC43AAD}"/>
    <hyperlink ref="W109" r:id="rId438" display="javascript:chartPopup('NIFTY', 'OPTIDX', '24DEC2020', '15100.00','PE','NIFTY 50');" xr:uid="{8ECB9741-EF64-7B41-A791-6771D7519372}"/>
    <hyperlink ref="A110" r:id="rId439" display="javascript:chartPopup('NIFTY', 'OPTIDX', '24DEC2020', '15150.00','CE','NIFTY 50');" xr:uid="{51595D8C-B7FA-1744-A941-10B374E04B5D}"/>
    <hyperlink ref="F110" r:id="rId440" display="/live_market/dynaContent/live_watch/get_quote/GetQuoteFO.jsp?underlying=NIFTY&amp;instrument=OPTIDX&amp;strike=15150.00&amp;type=CE&amp;expiry=24DEC2020" xr:uid="{052E2193-EFD8-594B-BF26-4BCA4EFC0C68}"/>
    <hyperlink ref="L110" r:id="rId441" display="/live_market/dynaContent/live_watch/option_chain/optionDates.jsp?symbol=NIFTY&amp;instrument=OPTIDX&amp;strike=15150.00" xr:uid="{40756E16-2A0C-844D-93A5-4B675CEE1972}"/>
    <hyperlink ref="W110" r:id="rId442" display="javascript:chartPopup('NIFTY', 'OPTIDX', '24DEC2020', '15150.00','PE','NIFTY 50');" xr:uid="{BEEB9E37-73BF-944E-9D34-56B4A73D40FE}"/>
    <hyperlink ref="A111" r:id="rId443" display="javascript:chartPopup('NIFTY', 'OPTIDX', '24DEC2020', '15200.00','CE','NIFTY 50');" xr:uid="{FFFA8110-84AD-1248-91EF-FDF26BCC3D08}"/>
    <hyperlink ref="F111" r:id="rId444" display="/live_market/dynaContent/live_watch/get_quote/GetQuoteFO.jsp?underlying=NIFTY&amp;instrument=OPTIDX&amp;strike=15200.00&amp;type=CE&amp;expiry=24DEC2020" xr:uid="{7727EFA3-DA50-5D44-9DAF-22B0B765402D}"/>
    <hyperlink ref="L111" r:id="rId445" display="/live_market/dynaContent/live_watch/option_chain/optionDates.jsp?symbol=NIFTY&amp;instrument=OPTIDX&amp;strike=15200.00" xr:uid="{22C64728-E95D-1D4A-B6B6-F7E2576D3064}"/>
    <hyperlink ref="W111" r:id="rId446" display="javascript:chartPopup('NIFTY', 'OPTIDX', '24DEC2020', '15200.00','PE','NIFTY 50');" xr:uid="{69AF47D1-063D-4148-AA0D-CD0986E233C5}"/>
    <hyperlink ref="A112" r:id="rId447" display="javascript:chartPopup('NIFTY', 'OPTIDX', '24DEC2020', '15250.00','CE','NIFTY 50');" xr:uid="{7C47C360-6A40-A242-9BB0-5FD33F4F19FC}"/>
    <hyperlink ref="F112" r:id="rId448" display="/live_market/dynaContent/live_watch/get_quote/GetQuoteFO.jsp?underlying=NIFTY&amp;instrument=OPTIDX&amp;strike=15250.00&amp;type=CE&amp;expiry=24DEC2020" xr:uid="{1BBC2B67-DB09-D84E-B96A-375047AC6A2B}"/>
    <hyperlink ref="L112" r:id="rId449" display="/live_market/dynaContent/live_watch/option_chain/optionDates.jsp?symbol=NIFTY&amp;instrument=OPTIDX&amp;strike=15250.00" xr:uid="{0AF79B0F-D53C-8B4E-A726-E33487D12823}"/>
    <hyperlink ref="W112" r:id="rId450" display="javascript:chartPopup('NIFTY', 'OPTIDX', '24DEC2020', '15250.00','PE','NIFTY 50');" xr:uid="{3ECAB0C1-0C5A-5C4D-B033-AEB968C594F5}"/>
    <hyperlink ref="A115" location="top" display="top" xr:uid="{8CB864C9-99B3-774B-B9F6-6B40CE35B3D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15C8E-162D-1743-BC67-930593B46AAE}">
  <dimension ref="A1:W142"/>
  <sheetViews>
    <sheetView topLeftCell="B87" workbookViewId="0">
      <selection activeCell="C91" sqref="C90:C102"/>
    </sheetView>
  </sheetViews>
  <sheetFormatPr baseColWidth="10" defaultRowHeight="16" x14ac:dyDescent="0.2"/>
  <cols>
    <col min="1" max="1" width="44.1640625" bestFit="1" customWidth="1"/>
    <col min="2" max="2" width="62" bestFit="1" customWidth="1"/>
    <col min="3" max="4" width="8" bestFit="1" customWidth="1"/>
    <col min="5" max="5" width="2.6640625" bestFit="1" customWidth="1"/>
    <col min="6" max="6" width="8.1640625" bestFit="1" customWidth="1"/>
    <col min="7" max="7" width="7.33203125" bestFit="1" customWidth="1"/>
    <col min="8" max="8" width="5.6640625" bestFit="1" customWidth="1"/>
    <col min="9" max="9" width="7" bestFit="1" customWidth="1"/>
    <col min="10" max="10" width="7.83203125" bestFit="1" customWidth="1"/>
    <col min="11" max="11" width="4.83203125" bestFit="1" customWidth="1"/>
    <col min="12" max="12" width="8.83203125" bestFit="1" customWidth="1"/>
    <col min="13" max="13" width="4.83203125" bestFit="1" customWidth="1"/>
    <col min="14" max="15" width="7" bestFit="1" customWidth="1"/>
    <col min="16" max="16" width="4.83203125" bestFit="1" customWidth="1"/>
    <col min="17" max="17" width="7.5" bestFit="1" customWidth="1"/>
    <col min="18" max="18" width="8.1640625" bestFit="1" customWidth="1"/>
    <col min="19" max="19" width="2.6640625" bestFit="1" customWidth="1"/>
    <col min="20" max="21" width="8" bestFit="1" customWidth="1"/>
    <col min="22" max="22" width="9.33203125" bestFit="1" customWidth="1"/>
    <col min="23" max="23" width="6.1640625" bestFit="1" customWidth="1"/>
  </cols>
  <sheetData>
    <row r="1" spans="1:23" ht="16" customHeight="1" x14ac:dyDescent="0.2">
      <c r="A1" s="43" t="s">
        <v>0</v>
      </c>
      <c r="B1" s="44" t="s">
        <v>32</v>
      </c>
    </row>
    <row r="2" spans="1:23" ht="16" customHeight="1" x14ac:dyDescent="0.2">
      <c r="A2" s="43"/>
      <c r="B2" s="44"/>
    </row>
    <row r="5" spans="1:23" x14ac:dyDescent="0.2">
      <c r="A5" s="40"/>
    </row>
    <row r="7" spans="1:23" x14ac:dyDescent="0.2">
      <c r="A7" s="45" t="s">
        <v>1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39"/>
      <c r="M7" s="45" t="s">
        <v>2</v>
      </c>
      <c r="N7" s="45"/>
      <c r="O7" s="45"/>
      <c r="P7" s="45"/>
      <c r="Q7" s="45"/>
      <c r="R7" s="45"/>
      <c r="S7" s="45"/>
      <c r="T7" s="45"/>
      <c r="U7" s="45"/>
      <c r="V7" s="45"/>
      <c r="W7" s="45"/>
    </row>
    <row r="8" spans="1:23" x14ac:dyDescent="0.2">
      <c r="A8" s="45" t="s">
        <v>3</v>
      </c>
      <c r="B8" s="45" t="s">
        <v>4</v>
      </c>
      <c r="C8" s="45" t="s">
        <v>5</v>
      </c>
      <c r="D8" s="45" t="s">
        <v>6</v>
      </c>
      <c r="E8" s="45" t="s">
        <v>7</v>
      </c>
      <c r="F8" s="45" t="s">
        <v>8</v>
      </c>
      <c r="G8" s="45" t="s">
        <v>9</v>
      </c>
      <c r="H8" s="39" t="s">
        <v>10</v>
      </c>
      <c r="I8" s="39" t="s">
        <v>10</v>
      </c>
      <c r="J8" s="39" t="s">
        <v>13</v>
      </c>
      <c r="K8" s="39" t="s">
        <v>13</v>
      </c>
      <c r="L8" s="45" t="s">
        <v>14</v>
      </c>
      <c r="M8" s="39" t="s">
        <v>10</v>
      </c>
      <c r="N8" s="39" t="s">
        <v>10</v>
      </c>
      <c r="O8" s="39" t="s">
        <v>13</v>
      </c>
      <c r="P8" s="39" t="s">
        <v>13</v>
      </c>
      <c r="Q8" s="45" t="s">
        <v>9</v>
      </c>
      <c r="R8" s="45" t="s">
        <v>8</v>
      </c>
      <c r="S8" s="45" t="s">
        <v>7</v>
      </c>
      <c r="T8" s="45" t="s">
        <v>6</v>
      </c>
      <c r="U8" s="45" t="s">
        <v>5</v>
      </c>
      <c r="V8" s="45" t="s">
        <v>4</v>
      </c>
      <c r="W8" s="45" t="s">
        <v>3</v>
      </c>
    </row>
    <row r="9" spans="1:23" x14ac:dyDescent="0.2">
      <c r="A9" s="45"/>
      <c r="B9" s="45"/>
      <c r="C9" s="45"/>
      <c r="D9" s="45"/>
      <c r="E9" s="45"/>
      <c r="F9" s="45"/>
      <c r="G9" s="45"/>
      <c r="H9" s="39" t="s">
        <v>11</v>
      </c>
      <c r="I9" s="39" t="s">
        <v>12</v>
      </c>
      <c r="J9" s="39" t="s">
        <v>12</v>
      </c>
      <c r="K9" s="39" t="s">
        <v>11</v>
      </c>
      <c r="L9" s="45"/>
      <c r="M9" s="39" t="s">
        <v>11</v>
      </c>
      <c r="N9" s="39" t="s">
        <v>12</v>
      </c>
      <c r="O9" s="39" t="s">
        <v>12</v>
      </c>
      <c r="P9" s="39" t="s">
        <v>11</v>
      </c>
      <c r="Q9" s="45"/>
      <c r="R9" s="45"/>
      <c r="S9" s="45"/>
      <c r="T9" s="45"/>
      <c r="U9" s="45"/>
      <c r="V9" s="45"/>
      <c r="W9" s="45"/>
    </row>
    <row r="10" spans="1:23" ht="17" x14ac:dyDescent="0.2">
      <c r="A10" s="2" t="s">
        <v>15</v>
      </c>
      <c r="B10" s="1">
        <v>25</v>
      </c>
      <c r="C10" s="1" t="s">
        <v>16</v>
      </c>
      <c r="D10" s="1">
        <v>2</v>
      </c>
      <c r="E10" s="1" t="s">
        <v>16</v>
      </c>
      <c r="F10" s="8">
        <v>9299</v>
      </c>
      <c r="G10" s="6">
        <v>723.65</v>
      </c>
      <c r="H10" s="1">
        <v>375</v>
      </c>
      <c r="I10" s="5">
        <v>9333.1</v>
      </c>
      <c r="J10" s="5">
        <v>9438.6</v>
      </c>
      <c r="K10" s="1">
        <v>125</v>
      </c>
      <c r="L10" s="2">
        <v>20900</v>
      </c>
      <c r="M10" s="1">
        <v>25</v>
      </c>
      <c r="N10" s="1">
        <v>0.5</v>
      </c>
      <c r="O10" s="1">
        <v>0.55000000000000004</v>
      </c>
      <c r="P10" s="4">
        <v>1000</v>
      </c>
      <c r="Q10" s="3" t="s">
        <v>16</v>
      </c>
      <c r="R10" s="2">
        <v>0.5</v>
      </c>
      <c r="S10" s="1" t="s">
        <v>16</v>
      </c>
      <c r="T10" s="4">
        <v>10227</v>
      </c>
      <c r="U10" s="4">
        <v>28300</v>
      </c>
      <c r="V10" s="4">
        <v>79550</v>
      </c>
      <c r="W10" s="2" t="s">
        <v>15</v>
      </c>
    </row>
    <row r="11" spans="1:23" ht="17" x14ac:dyDescent="0.2">
      <c r="A11" s="2" t="s">
        <v>15</v>
      </c>
      <c r="B11" s="1" t="s">
        <v>16</v>
      </c>
      <c r="C11" s="1" t="s">
        <v>16</v>
      </c>
      <c r="D11" s="1" t="s">
        <v>16</v>
      </c>
      <c r="E11" s="1" t="s">
        <v>16</v>
      </c>
      <c r="F11" s="1" t="s">
        <v>16</v>
      </c>
      <c r="G11" s="3" t="s">
        <v>16</v>
      </c>
      <c r="H11" s="4">
        <v>2400</v>
      </c>
      <c r="I11" s="5">
        <v>8305.7999999999993</v>
      </c>
      <c r="J11" s="5">
        <v>9465.2999999999993</v>
      </c>
      <c r="K11" s="1">
        <v>125</v>
      </c>
      <c r="L11" s="2">
        <v>21000</v>
      </c>
      <c r="M11" s="1">
        <v>50</v>
      </c>
      <c r="N11" s="1">
        <v>0.5</v>
      </c>
      <c r="O11" s="1">
        <v>0.6</v>
      </c>
      <c r="P11" s="4">
        <v>1675</v>
      </c>
      <c r="Q11" s="7">
        <v>-0.15</v>
      </c>
      <c r="R11" s="2">
        <v>0.45</v>
      </c>
      <c r="S11" s="1" t="s">
        <v>16</v>
      </c>
      <c r="T11" s="4">
        <v>4389</v>
      </c>
      <c r="U11" s="4">
        <v>26475</v>
      </c>
      <c r="V11" s="4">
        <v>46550</v>
      </c>
      <c r="W11" s="2" t="s">
        <v>15</v>
      </c>
    </row>
    <row r="12" spans="1:23" ht="17" x14ac:dyDescent="0.2">
      <c r="A12" s="2" t="s">
        <v>15</v>
      </c>
      <c r="B12" s="1" t="s">
        <v>16</v>
      </c>
      <c r="C12" s="1" t="s">
        <v>16</v>
      </c>
      <c r="D12" s="1" t="s">
        <v>16</v>
      </c>
      <c r="E12" s="1" t="s">
        <v>16</v>
      </c>
      <c r="F12" s="1" t="s">
        <v>16</v>
      </c>
      <c r="G12" s="3" t="s">
        <v>16</v>
      </c>
      <c r="H12" s="4">
        <v>2400</v>
      </c>
      <c r="I12" s="5">
        <v>8341.5499999999993</v>
      </c>
      <c r="J12" s="5">
        <v>9879.75</v>
      </c>
      <c r="K12" s="4">
        <v>2400</v>
      </c>
      <c r="L12" s="2">
        <v>21100</v>
      </c>
      <c r="M12" s="1">
        <v>25</v>
      </c>
      <c r="N12" s="1">
        <v>0.35</v>
      </c>
      <c r="O12" s="1">
        <v>0.5</v>
      </c>
      <c r="P12" s="1">
        <v>225</v>
      </c>
      <c r="Q12" s="7">
        <v>-0.55000000000000004</v>
      </c>
      <c r="R12" s="2">
        <v>0.55000000000000004</v>
      </c>
      <c r="S12" s="1" t="s">
        <v>16</v>
      </c>
      <c r="T12" s="4">
        <v>1271</v>
      </c>
      <c r="U12" s="4">
        <v>1675</v>
      </c>
      <c r="V12" s="4">
        <v>2725</v>
      </c>
      <c r="W12" s="2" t="s">
        <v>15</v>
      </c>
    </row>
    <row r="13" spans="1:23" ht="17" x14ac:dyDescent="0.2">
      <c r="A13" s="2" t="s">
        <v>15</v>
      </c>
      <c r="B13" s="1" t="s">
        <v>16</v>
      </c>
      <c r="C13" s="1" t="s">
        <v>16</v>
      </c>
      <c r="D13" s="1" t="s">
        <v>16</v>
      </c>
      <c r="E13" s="1" t="s">
        <v>16</v>
      </c>
      <c r="F13" s="1" t="s">
        <v>16</v>
      </c>
      <c r="G13" s="3" t="s">
        <v>16</v>
      </c>
      <c r="H13" s="4">
        <v>2400</v>
      </c>
      <c r="I13" s="5">
        <v>8254</v>
      </c>
      <c r="J13" s="5">
        <v>9534.4500000000007</v>
      </c>
      <c r="K13" s="1">
        <v>500</v>
      </c>
      <c r="L13" s="2">
        <v>21200</v>
      </c>
      <c r="M13" s="1">
        <v>600</v>
      </c>
      <c r="N13" s="1">
        <v>0.5</v>
      </c>
      <c r="O13" s="1">
        <v>0.75</v>
      </c>
      <c r="P13" s="1">
        <v>475</v>
      </c>
      <c r="Q13" s="7">
        <v>-2.25</v>
      </c>
      <c r="R13" s="2">
        <v>0.8</v>
      </c>
      <c r="S13" s="1" t="s">
        <v>16</v>
      </c>
      <c r="T13" s="1">
        <v>495</v>
      </c>
      <c r="U13" s="4">
        <v>2750</v>
      </c>
      <c r="V13" s="4">
        <v>2750</v>
      </c>
      <c r="W13" s="2" t="s">
        <v>15</v>
      </c>
    </row>
    <row r="14" spans="1:23" ht="17" x14ac:dyDescent="0.2">
      <c r="A14" s="2" t="s">
        <v>15</v>
      </c>
      <c r="B14" s="1" t="s">
        <v>16</v>
      </c>
      <c r="C14" s="1" t="s">
        <v>16</v>
      </c>
      <c r="D14" s="1" t="s">
        <v>16</v>
      </c>
      <c r="E14" s="1" t="s">
        <v>16</v>
      </c>
      <c r="F14" s="1" t="s">
        <v>16</v>
      </c>
      <c r="G14" s="3" t="s">
        <v>16</v>
      </c>
      <c r="H14" s="4">
        <v>2400</v>
      </c>
      <c r="I14" s="5">
        <v>7907.8</v>
      </c>
      <c r="J14" s="5">
        <v>9419.15</v>
      </c>
      <c r="K14" s="1">
        <v>500</v>
      </c>
      <c r="L14" s="2">
        <v>21300</v>
      </c>
      <c r="M14" s="1">
        <v>300</v>
      </c>
      <c r="N14" s="1">
        <v>0.15</v>
      </c>
      <c r="O14" s="1">
        <v>1.5</v>
      </c>
      <c r="P14" s="1">
        <v>200</v>
      </c>
      <c r="Q14" s="3" t="s">
        <v>16</v>
      </c>
      <c r="R14" s="1" t="s">
        <v>16</v>
      </c>
      <c r="S14" s="1" t="s">
        <v>16</v>
      </c>
      <c r="T14" s="1" t="s">
        <v>16</v>
      </c>
      <c r="U14" s="1" t="s">
        <v>16</v>
      </c>
      <c r="V14" s="1" t="s">
        <v>16</v>
      </c>
      <c r="W14" s="2" t="s">
        <v>15</v>
      </c>
    </row>
    <row r="15" spans="1:23" ht="17" x14ac:dyDescent="0.2">
      <c r="A15" s="2" t="s">
        <v>15</v>
      </c>
      <c r="B15" s="1" t="s">
        <v>16</v>
      </c>
      <c r="C15" s="1" t="s">
        <v>16</v>
      </c>
      <c r="D15" s="1" t="s">
        <v>16</v>
      </c>
      <c r="E15" s="1" t="s">
        <v>16</v>
      </c>
      <c r="F15" s="1" t="s">
        <v>16</v>
      </c>
      <c r="G15" s="3" t="s">
        <v>16</v>
      </c>
      <c r="H15" s="4">
        <v>2400</v>
      </c>
      <c r="I15" s="5">
        <v>8060.35</v>
      </c>
      <c r="J15" s="5">
        <v>9392.2999999999993</v>
      </c>
      <c r="K15" s="1">
        <v>500</v>
      </c>
      <c r="L15" s="2">
        <v>21400</v>
      </c>
      <c r="M15" s="4">
        <v>2500</v>
      </c>
      <c r="N15" s="1">
        <v>0.2</v>
      </c>
      <c r="O15" s="1" t="s">
        <v>16</v>
      </c>
      <c r="P15" s="1" t="s">
        <v>16</v>
      </c>
      <c r="Q15" s="7">
        <v>-563.15</v>
      </c>
      <c r="R15" s="2">
        <v>0.25</v>
      </c>
      <c r="S15" s="1" t="s">
        <v>16</v>
      </c>
      <c r="T15" s="1">
        <v>163</v>
      </c>
      <c r="U15" s="1">
        <v>825</v>
      </c>
      <c r="V15" s="1">
        <v>825</v>
      </c>
      <c r="W15" s="2" t="s">
        <v>15</v>
      </c>
    </row>
    <row r="16" spans="1:23" ht="17" x14ac:dyDescent="0.2">
      <c r="A16" s="2" t="s">
        <v>15</v>
      </c>
      <c r="B16" s="1">
        <v>25</v>
      </c>
      <c r="C16" s="1" t="s">
        <v>16</v>
      </c>
      <c r="D16" s="1" t="s">
        <v>16</v>
      </c>
      <c r="E16" s="1" t="s">
        <v>16</v>
      </c>
      <c r="F16" s="1" t="s">
        <v>16</v>
      </c>
      <c r="G16" s="3" t="s">
        <v>16</v>
      </c>
      <c r="H16" s="1">
        <v>500</v>
      </c>
      <c r="I16" s="5">
        <v>8330.5499999999993</v>
      </c>
      <c r="J16" s="5">
        <v>8950.35</v>
      </c>
      <c r="K16" s="1">
        <v>375</v>
      </c>
      <c r="L16" s="2">
        <v>21500</v>
      </c>
      <c r="M16" s="1">
        <v>575</v>
      </c>
      <c r="N16" s="1">
        <v>0.5</v>
      </c>
      <c r="O16" s="1">
        <v>0.7</v>
      </c>
      <c r="P16" s="1">
        <v>25</v>
      </c>
      <c r="Q16" s="7">
        <v>-0.1</v>
      </c>
      <c r="R16" s="2">
        <v>0.6</v>
      </c>
      <c r="S16" s="1" t="s">
        <v>16</v>
      </c>
      <c r="T16" s="4">
        <v>3548</v>
      </c>
      <c r="U16" s="4">
        <v>46625</v>
      </c>
      <c r="V16" s="4">
        <v>47750</v>
      </c>
      <c r="W16" s="2" t="s">
        <v>15</v>
      </c>
    </row>
    <row r="17" spans="1:23" ht="17" x14ac:dyDescent="0.2">
      <c r="A17" s="2" t="s">
        <v>15</v>
      </c>
      <c r="B17" s="1" t="s">
        <v>16</v>
      </c>
      <c r="C17" s="1" t="s">
        <v>16</v>
      </c>
      <c r="D17" s="1" t="s">
        <v>16</v>
      </c>
      <c r="E17" s="1" t="s">
        <v>16</v>
      </c>
      <c r="F17" s="1" t="s">
        <v>16</v>
      </c>
      <c r="G17" s="3" t="s">
        <v>16</v>
      </c>
      <c r="H17" s="1">
        <v>625</v>
      </c>
      <c r="I17" s="5">
        <v>8252.15</v>
      </c>
      <c r="J17" s="5">
        <v>11166.65</v>
      </c>
      <c r="K17" s="1">
        <v>625</v>
      </c>
      <c r="L17" s="2">
        <v>21600</v>
      </c>
      <c r="M17" s="4">
        <v>2000</v>
      </c>
      <c r="N17" s="1">
        <v>0.05</v>
      </c>
      <c r="O17" s="1">
        <v>1.8</v>
      </c>
      <c r="P17" s="1">
        <v>500</v>
      </c>
      <c r="Q17" s="3" t="s">
        <v>16</v>
      </c>
      <c r="R17" s="1" t="s">
        <v>16</v>
      </c>
      <c r="S17" s="1" t="s">
        <v>16</v>
      </c>
      <c r="T17" s="1" t="s">
        <v>16</v>
      </c>
      <c r="U17" s="1" t="s">
        <v>16</v>
      </c>
      <c r="V17" s="1" t="s">
        <v>16</v>
      </c>
      <c r="W17" s="2" t="s">
        <v>15</v>
      </c>
    </row>
    <row r="18" spans="1:23" ht="17" x14ac:dyDescent="0.2">
      <c r="A18" s="2" t="s">
        <v>15</v>
      </c>
      <c r="B18" s="1" t="s">
        <v>16</v>
      </c>
      <c r="C18" s="1" t="s">
        <v>16</v>
      </c>
      <c r="D18" s="1" t="s">
        <v>16</v>
      </c>
      <c r="E18" s="1" t="s">
        <v>16</v>
      </c>
      <c r="F18" s="1" t="s">
        <v>16</v>
      </c>
      <c r="G18" s="3" t="s">
        <v>16</v>
      </c>
      <c r="H18" s="1">
        <v>625</v>
      </c>
      <c r="I18" s="5">
        <v>7938.85</v>
      </c>
      <c r="J18" s="5">
        <v>11073.1</v>
      </c>
      <c r="K18" s="1">
        <v>625</v>
      </c>
      <c r="L18" s="2">
        <v>21700</v>
      </c>
      <c r="M18" s="1" t="s">
        <v>16</v>
      </c>
      <c r="N18" s="1" t="s">
        <v>16</v>
      </c>
      <c r="O18" s="1" t="s">
        <v>16</v>
      </c>
      <c r="P18" s="1" t="s">
        <v>16</v>
      </c>
      <c r="Q18" s="3" t="s">
        <v>16</v>
      </c>
      <c r="R18" s="1" t="s">
        <v>16</v>
      </c>
      <c r="S18" s="1" t="s">
        <v>16</v>
      </c>
      <c r="T18" s="1" t="s">
        <v>16</v>
      </c>
      <c r="U18" s="1" t="s">
        <v>16</v>
      </c>
      <c r="V18" s="1" t="s">
        <v>16</v>
      </c>
      <c r="W18" s="2" t="s">
        <v>15</v>
      </c>
    </row>
    <row r="19" spans="1:23" ht="17" x14ac:dyDescent="0.2">
      <c r="A19" s="2" t="s">
        <v>15</v>
      </c>
      <c r="B19" s="1" t="s">
        <v>16</v>
      </c>
      <c r="C19" s="1" t="s">
        <v>16</v>
      </c>
      <c r="D19" s="1" t="s">
        <v>16</v>
      </c>
      <c r="E19" s="1" t="s">
        <v>16</v>
      </c>
      <c r="F19" s="1" t="s">
        <v>16</v>
      </c>
      <c r="G19" s="3" t="s">
        <v>16</v>
      </c>
      <c r="H19" s="1">
        <v>625</v>
      </c>
      <c r="I19" s="5">
        <v>8056.4</v>
      </c>
      <c r="J19" s="5">
        <v>10967</v>
      </c>
      <c r="K19" s="1">
        <v>625</v>
      </c>
      <c r="L19" s="2">
        <v>21800</v>
      </c>
      <c r="M19" s="1" t="s">
        <v>16</v>
      </c>
      <c r="N19" s="1" t="s">
        <v>16</v>
      </c>
      <c r="O19" s="1">
        <v>1.95</v>
      </c>
      <c r="P19" s="1">
        <v>500</v>
      </c>
      <c r="Q19" s="3" t="s">
        <v>16</v>
      </c>
      <c r="R19" s="1" t="s">
        <v>16</v>
      </c>
      <c r="S19" s="1" t="s">
        <v>16</v>
      </c>
      <c r="T19" s="1" t="s">
        <v>16</v>
      </c>
      <c r="U19" s="1" t="s">
        <v>16</v>
      </c>
      <c r="V19" s="1" t="s">
        <v>16</v>
      </c>
      <c r="W19" s="2" t="s">
        <v>15</v>
      </c>
    </row>
    <row r="20" spans="1:23" ht="17" x14ac:dyDescent="0.2">
      <c r="A20" s="2" t="s">
        <v>15</v>
      </c>
      <c r="B20" s="1" t="s">
        <v>16</v>
      </c>
      <c r="C20" s="1" t="s">
        <v>16</v>
      </c>
      <c r="D20" s="1" t="s">
        <v>16</v>
      </c>
      <c r="E20" s="1" t="s">
        <v>16</v>
      </c>
      <c r="F20" s="1" t="s">
        <v>16</v>
      </c>
      <c r="G20" s="3" t="s">
        <v>16</v>
      </c>
      <c r="H20" s="1">
        <v>625</v>
      </c>
      <c r="I20" s="5">
        <v>7756.25</v>
      </c>
      <c r="J20" s="5">
        <v>10870.95</v>
      </c>
      <c r="K20" s="1">
        <v>625</v>
      </c>
      <c r="L20" s="2">
        <v>21900</v>
      </c>
      <c r="M20" s="1" t="s">
        <v>16</v>
      </c>
      <c r="N20" s="1" t="s">
        <v>16</v>
      </c>
      <c r="O20" s="1">
        <v>1.95</v>
      </c>
      <c r="P20" s="1">
        <v>500</v>
      </c>
      <c r="Q20" s="3" t="s">
        <v>16</v>
      </c>
      <c r="R20" s="1" t="s">
        <v>16</v>
      </c>
      <c r="S20" s="1" t="s">
        <v>16</v>
      </c>
      <c r="T20" s="1" t="s">
        <v>16</v>
      </c>
      <c r="U20" s="1" t="s">
        <v>16</v>
      </c>
      <c r="V20" s="1" t="s">
        <v>16</v>
      </c>
      <c r="W20" s="2" t="s">
        <v>15</v>
      </c>
    </row>
    <row r="21" spans="1:23" ht="17" x14ac:dyDescent="0.2">
      <c r="A21" s="2" t="s">
        <v>15</v>
      </c>
      <c r="B21" s="1">
        <v>25</v>
      </c>
      <c r="C21" s="1" t="s">
        <v>16</v>
      </c>
      <c r="D21" s="1">
        <v>1</v>
      </c>
      <c r="E21" s="1" t="s">
        <v>16</v>
      </c>
      <c r="F21" s="8">
        <v>8200</v>
      </c>
      <c r="G21" s="6">
        <v>577.85</v>
      </c>
      <c r="H21" s="1">
        <v>625</v>
      </c>
      <c r="I21" s="5">
        <v>8260.1</v>
      </c>
      <c r="J21" s="5">
        <v>8395.7999999999993</v>
      </c>
      <c r="K21" s="1">
        <v>625</v>
      </c>
      <c r="L21" s="2">
        <v>22000</v>
      </c>
      <c r="M21" s="4">
        <v>1550</v>
      </c>
      <c r="N21" s="1">
        <v>0.6</v>
      </c>
      <c r="O21" s="1">
        <v>0.85</v>
      </c>
      <c r="P21" s="1">
        <v>500</v>
      </c>
      <c r="Q21" s="7">
        <v>-0.05</v>
      </c>
      <c r="R21" s="2">
        <v>0.6</v>
      </c>
      <c r="S21" s="1" t="s">
        <v>16</v>
      </c>
      <c r="T21" s="4">
        <v>4884</v>
      </c>
      <c r="U21" s="4">
        <v>60025</v>
      </c>
      <c r="V21" s="4">
        <v>64025</v>
      </c>
      <c r="W21" s="2" t="s">
        <v>15</v>
      </c>
    </row>
    <row r="22" spans="1:23" ht="17" x14ac:dyDescent="0.2">
      <c r="A22" s="2" t="s">
        <v>15</v>
      </c>
      <c r="B22" s="1" t="s">
        <v>16</v>
      </c>
      <c r="C22" s="1" t="s">
        <v>16</v>
      </c>
      <c r="D22" s="1" t="s">
        <v>16</v>
      </c>
      <c r="E22" s="1" t="s">
        <v>16</v>
      </c>
      <c r="F22" s="1" t="s">
        <v>16</v>
      </c>
      <c r="G22" s="3" t="s">
        <v>16</v>
      </c>
      <c r="H22" s="1">
        <v>625</v>
      </c>
      <c r="I22" s="5">
        <v>7770.9</v>
      </c>
      <c r="J22" s="5">
        <v>10673.1</v>
      </c>
      <c r="K22" s="1">
        <v>625</v>
      </c>
      <c r="L22" s="2">
        <v>22100</v>
      </c>
      <c r="M22" s="1" t="s">
        <v>16</v>
      </c>
      <c r="N22" s="1" t="s">
        <v>16</v>
      </c>
      <c r="O22" s="1">
        <v>2.9</v>
      </c>
      <c r="P22" s="1">
        <v>500</v>
      </c>
      <c r="Q22" s="3" t="s">
        <v>16</v>
      </c>
      <c r="R22" s="1" t="s">
        <v>16</v>
      </c>
      <c r="S22" s="1" t="s">
        <v>16</v>
      </c>
      <c r="T22" s="1" t="s">
        <v>16</v>
      </c>
      <c r="U22" s="1" t="s">
        <v>16</v>
      </c>
      <c r="V22" s="1" t="s">
        <v>16</v>
      </c>
      <c r="W22" s="2" t="s">
        <v>15</v>
      </c>
    </row>
    <row r="23" spans="1:23" ht="17" x14ac:dyDescent="0.2">
      <c r="A23" s="2" t="s">
        <v>15</v>
      </c>
      <c r="B23" s="1" t="s">
        <v>16</v>
      </c>
      <c r="C23" s="1" t="s">
        <v>16</v>
      </c>
      <c r="D23" s="1" t="s">
        <v>16</v>
      </c>
      <c r="E23" s="1" t="s">
        <v>16</v>
      </c>
      <c r="F23" s="1" t="s">
        <v>16</v>
      </c>
      <c r="G23" s="3" t="s">
        <v>16</v>
      </c>
      <c r="H23" s="1">
        <v>625</v>
      </c>
      <c r="I23" s="5">
        <v>7677.7</v>
      </c>
      <c r="J23" s="5">
        <v>10569.05</v>
      </c>
      <c r="K23" s="1">
        <v>625</v>
      </c>
      <c r="L23" s="2">
        <v>22200</v>
      </c>
      <c r="M23" s="1" t="s">
        <v>16</v>
      </c>
      <c r="N23" s="1" t="s">
        <v>16</v>
      </c>
      <c r="O23" s="1">
        <v>2.9</v>
      </c>
      <c r="P23" s="1">
        <v>500</v>
      </c>
      <c r="Q23" s="3" t="s">
        <v>16</v>
      </c>
      <c r="R23" s="1" t="s">
        <v>16</v>
      </c>
      <c r="S23" s="1" t="s">
        <v>16</v>
      </c>
      <c r="T23" s="1" t="s">
        <v>16</v>
      </c>
      <c r="U23" s="1" t="s">
        <v>16</v>
      </c>
      <c r="V23" s="1" t="s">
        <v>16</v>
      </c>
      <c r="W23" s="2" t="s">
        <v>15</v>
      </c>
    </row>
    <row r="24" spans="1:23" ht="17" x14ac:dyDescent="0.2">
      <c r="A24" s="2" t="s">
        <v>15</v>
      </c>
      <c r="B24" s="1" t="s">
        <v>16</v>
      </c>
      <c r="C24" s="1" t="s">
        <v>16</v>
      </c>
      <c r="D24" s="1" t="s">
        <v>16</v>
      </c>
      <c r="E24" s="1" t="s">
        <v>16</v>
      </c>
      <c r="F24" s="1" t="s">
        <v>16</v>
      </c>
      <c r="G24" s="3" t="s">
        <v>16</v>
      </c>
      <c r="H24" s="1">
        <v>625</v>
      </c>
      <c r="I24" s="5">
        <v>7390.55</v>
      </c>
      <c r="J24" s="5">
        <v>10480.25</v>
      </c>
      <c r="K24" s="1">
        <v>625</v>
      </c>
      <c r="L24" s="2">
        <v>22300</v>
      </c>
      <c r="M24" s="1" t="s">
        <v>16</v>
      </c>
      <c r="N24" s="1" t="s">
        <v>16</v>
      </c>
      <c r="O24" s="1">
        <v>2.9</v>
      </c>
      <c r="P24" s="1">
        <v>500</v>
      </c>
      <c r="Q24" s="3" t="s">
        <v>16</v>
      </c>
      <c r="R24" s="1" t="s">
        <v>16</v>
      </c>
      <c r="S24" s="1" t="s">
        <v>16</v>
      </c>
      <c r="T24" s="1" t="s">
        <v>16</v>
      </c>
      <c r="U24" s="1" t="s">
        <v>16</v>
      </c>
      <c r="V24" s="1" t="s">
        <v>16</v>
      </c>
      <c r="W24" s="2" t="s">
        <v>15</v>
      </c>
    </row>
    <row r="25" spans="1:23" ht="17" x14ac:dyDescent="0.2">
      <c r="A25" s="2" t="s">
        <v>15</v>
      </c>
      <c r="B25" s="1" t="s">
        <v>16</v>
      </c>
      <c r="C25" s="1" t="s">
        <v>16</v>
      </c>
      <c r="D25" s="1" t="s">
        <v>16</v>
      </c>
      <c r="E25" s="1" t="s">
        <v>16</v>
      </c>
      <c r="F25" s="1" t="s">
        <v>16</v>
      </c>
      <c r="G25" s="3" t="s">
        <v>16</v>
      </c>
      <c r="H25" s="1">
        <v>625</v>
      </c>
      <c r="I25" s="5">
        <v>7493.3</v>
      </c>
      <c r="J25" s="5">
        <v>8205.7999999999993</v>
      </c>
      <c r="K25" s="1">
        <v>625</v>
      </c>
      <c r="L25" s="2">
        <v>22400</v>
      </c>
      <c r="M25" s="1">
        <v>100</v>
      </c>
      <c r="N25" s="1">
        <v>0.25</v>
      </c>
      <c r="O25" s="1">
        <v>0.8</v>
      </c>
      <c r="P25" s="1">
        <v>475</v>
      </c>
      <c r="Q25" s="7">
        <v>-809.65</v>
      </c>
      <c r="R25" s="2">
        <v>0.9</v>
      </c>
      <c r="S25" s="1" t="s">
        <v>16</v>
      </c>
      <c r="T25" s="1">
        <v>20</v>
      </c>
      <c r="U25" s="1">
        <v>500</v>
      </c>
      <c r="V25" s="1">
        <v>500</v>
      </c>
      <c r="W25" s="2" t="s">
        <v>15</v>
      </c>
    </row>
    <row r="26" spans="1:23" ht="17" x14ac:dyDescent="0.2">
      <c r="A26" s="2" t="s">
        <v>15</v>
      </c>
      <c r="B26" s="1" t="s">
        <v>16</v>
      </c>
      <c r="C26" s="1" t="s">
        <v>16</v>
      </c>
      <c r="D26" s="1">
        <v>1</v>
      </c>
      <c r="E26" s="1" t="s">
        <v>16</v>
      </c>
      <c r="F26" s="8">
        <v>7735.7</v>
      </c>
      <c r="G26" s="9">
        <v>4761.2</v>
      </c>
      <c r="H26" s="1">
        <v>625</v>
      </c>
      <c r="I26" s="5">
        <v>7674.7</v>
      </c>
      <c r="J26" s="5">
        <v>7953.1</v>
      </c>
      <c r="K26" s="1">
        <v>625</v>
      </c>
      <c r="L26" s="2">
        <v>22500</v>
      </c>
      <c r="M26" s="1">
        <v>25</v>
      </c>
      <c r="N26" s="1">
        <v>0.6</v>
      </c>
      <c r="O26" s="1">
        <v>0.9</v>
      </c>
      <c r="P26" s="1">
        <v>225</v>
      </c>
      <c r="Q26" s="7">
        <v>-0.2</v>
      </c>
      <c r="R26" s="2">
        <v>1</v>
      </c>
      <c r="S26" s="1" t="s">
        <v>16</v>
      </c>
      <c r="T26" s="1">
        <v>596</v>
      </c>
      <c r="U26" s="4">
        <v>4375</v>
      </c>
      <c r="V26" s="4">
        <v>7200</v>
      </c>
      <c r="W26" s="2" t="s">
        <v>15</v>
      </c>
    </row>
    <row r="27" spans="1:23" ht="17" x14ac:dyDescent="0.2">
      <c r="A27" s="2" t="s">
        <v>15</v>
      </c>
      <c r="B27" s="1" t="s">
        <v>16</v>
      </c>
      <c r="C27" s="1" t="s">
        <v>16</v>
      </c>
      <c r="D27" s="1" t="s">
        <v>16</v>
      </c>
      <c r="E27" s="1" t="s">
        <v>16</v>
      </c>
      <c r="F27" s="1" t="s">
        <v>16</v>
      </c>
      <c r="G27" s="3" t="s">
        <v>16</v>
      </c>
      <c r="H27" s="1">
        <v>625</v>
      </c>
      <c r="I27" s="5">
        <v>7294.2</v>
      </c>
      <c r="J27" s="5">
        <v>7997.35</v>
      </c>
      <c r="K27" s="1">
        <v>625</v>
      </c>
      <c r="L27" s="2">
        <v>22600</v>
      </c>
      <c r="M27" s="1" t="s">
        <v>16</v>
      </c>
      <c r="N27" s="1" t="s">
        <v>16</v>
      </c>
      <c r="O27" s="1">
        <v>3.05</v>
      </c>
      <c r="P27" s="4">
        <v>1000</v>
      </c>
      <c r="Q27" s="3" t="s">
        <v>16</v>
      </c>
      <c r="R27" s="1" t="s">
        <v>16</v>
      </c>
      <c r="S27" s="1" t="s">
        <v>16</v>
      </c>
      <c r="T27" s="1" t="s">
        <v>16</v>
      </c>
      <c r="U27" s="1" t="s">
        <v>16</v>
      </c>
      <c r="V27" s="1" t="s">
        <v>16</v>
      </c>
      <c r="W27" s="2" t="s">
        <v>15</v>
      </c>
    </row>
    <row r="28" spans="1:23" ht="17" x14ac:dyDescent="0.2">
      <c r="A28" s="2" t="s">
        <v>15</v>
      </c>
      <c r="B28" s="1" t="s">
        <v>16</v>
      </c>
      <c r="C28" s="1" t="s">
        <v>16</v>
      </c>
      <c r="D28" s="1" t="s">
        <v>16</v>
      </c>
      <c r="E28" s="1" t="s">
        <v>16</v>
      </c>
      <c r="F28" s="1" t="s">
        <v>16</v>
      </c>
      <c r="G28" s="3" t="s">
        <v>16</v>
      </c>
      <c r="H28" s="4">
        <v>2400</v>
      </c>
      <c r="I28" s="5">
        <v>7017.7</v>
      </c>
      <c r="J28" s="5">
        <v>7892.25</v>
      </c>
      <c r="K28" s="1">
        <v>625</v>
      </c>
      <c r="L28" s="2">
        <v>22700</v>
      </c>
      <c r="M28" s="1" t="s">
        <v>16</v>
      </c>
      <c r="N28" s="1" t="s">
        <v>16</v>
      </c>
      <c r="O28" s="1">
        <v>3.05</v>
      </c>
      <c r="P28" s="4">
        <v>1000</v>
      </c>
      <c r="Q28" s="3" t="s">
        <v>16</v>
      </c>
      <c r="R28" s="1" t="s">
        <v>16</v>
      </c>
      <c r="S28" s="1" t="s">
        <v>16</v>
      </c>
      <c r="T28" s="1" t="s">
        <v>16</v>
      </c>
      <c r="U28" s="1" t="s">
        <v>16</v>
      </c>
      <c r="V28" s="1" t="s">
        <v>16</v>
      </c>
      <c r="W28" s="2" t="s">
        <v>15</v>
      </c>
    </row>
    <row r="29" spans="1:23" ht="17" x14ac:dyDescent="0.2">
      <c r="A29" s="2" t="s">
        <v>15</v>
      </c>
      <c r="B29" s="1" t="s">
        <v>16</v>
      </c>
      <c r="C29" s="1" t="s">
        <v>16</v>
      </c>
      <c r="D29" s="1" t="s">
        <v>16</v>
      </c>
      <c r="E29" s="1" t="s">
        <v>16</v>
      </c>
      <c r="F29" s="1" t="s">
        <v>16</v>
      </c>
      <c r="G29" s="3" t="s">
        <v>16</v>
      </c>
      <c r="H29" s="1">
        <v>625</v>
      </c>
      <c r="I29" s="5">
        <v>7111.85</v>
      </c>
      <c r="J29" s="5">
        <v>7933.7</v>
      </c>
      <c r="K29" s="1">
        <v>625</v>
      </c>
      <c r="L29" s="2">
        <v>22800</v>
      </c>
      <c r="M29" s="1" t="s">
        <v>16</v>
      </c>
      <c r="N29" s="1" t="s">
        <v>16</v>
      </c>
      <c r="O29" s="1">
        <v>3.05</v>
      </c>
      <c r="P29" s="4">
        <v>1000</v>
      </c>
      <c r="Q29" s="3" t="s">
        <v>16</v>
      </c>
      <c r="R29" s="1" t="s">
        <v>16</v>
      </c>
      <c r="S29" s="1" t="s">
        <v>16</v>
      </c>
      <c r="T29" s="1" t="s">
        <v>16</v>
      </c>
      <c r="U29" s="1" t="s">
        <v>16</v>
      </c>
      <c r="V29" s="1" t="s">
        <v>16</v>
      </c>
      <c r="W29" s="2" t="s">
        <v>15</v>
      </c>
    </row>
    <row r="30" spans="1:23" ht="17" x14ac:dyDescent="0.2">
      <c r="A30" s="2" t="s">
        <v>15</v>
      </c>
      <c r="B30" s="1" t="s">
        <v>16</v>
      </c>
      <c r="C30" s="1" t="s">
        <v>16</v>
      </c>
      <c r="D30" s="1" t="s">
        <v>16</v>
      </c>
      <c r="E30" s="1" t="s">
        <v>16</v>
      </c>
      <c r="F30" s="1" t="s">
        <v>16</v>
      </c>
      <c r="G30" s="3" t="s">
        <v>16</v>
      </c>
      <c r="H30" s="1">
        <v>625</v>
      </c>
      <c r="I30" s="5">
        <v>6833.85</v>
      </c>
      <c r="J30" s="5">
        <v>7679.8</v>
      </c>
      <c r="K30" s="1">
        <v>625</v>
      </c>
      <c r="L30" s="2">
        <v>22900</v>
      </c>
      <c r="M30" s="4">
        <v>1000</v>
      </c>
      <c r="N30" s="1">
        <v>0.15</v>
      </c>
      <c r="O30" s="1">
        <v>0.7</v>
      </c>
      <c r="P30" s="1">
        <v>50</v>
      </c>
      <c r="Q30" s="6">
        <v>1.25</v>
      </c>
      <c r="R30" s="2">
        <v>1.35</v>
      </c>
      <c r="S30" s="1" t="s">
        <v>16</v>
      </c>
      <c r="T30" s="1">
        <v>366</v>
      </c>
      <c r="U30" s="4">
        <v>1025</v>
      </c>
      <c r="V30" s="4">
        <v>1050</v>
      </c>
      <c r="W30" s="2" t="s">
        <v>15</v>
      </c>
    </row>
    <row r="31" spans="1:23" ht="17" x14ac:dyDescent="0.2">
      <c r="A31" s="2" t="s">
        <v>15</v>
      </c>
      <c r="B31" s="1">
        <v>50</v>
      </c>
      <c r="C31" s="1" t="s">
        <v>16</v>
      </c>
      <c r="D31" s="1" t="s">
        <v>16</v>
      </c>
      <c r="E31" s="1" t="s">
        <v>16</v>
      </c>
      <c r="F31" s="1" t="s">
        <v>16</v>
      </c>
      <c r="G31" s="3" t="s">
        <v>16</v>
      </c>
      <c r="H31" s="1">
        <v>625</v>
      </c>
      <c r="I31" s="5">
        <v>7260.3</v>
      </c>
      <c r="J31" s="5">
        <v>7329.55</v>
      </c>
      <c r="K31" s="1">
        <v>125</v>
      </c>
      <c r="L31" s="2">
        <v>23000</v>
      </c>
      <c r="M31" s="1">
        <v>525</v>
      </c>
      <c r="N31" s="1">
        <v>0.6</v>
      </c>
      <c r="O31" s="1">
        <v>0.7</v>
      </c>
      <c r="P31" s="1">
        <v>125</v>
      </c>
      <c r="Q31" s="7">
        <v>-0.65</v>
      </c>
      <c r="R31" s="2">
        <v>0.7</v>
      </c>
      <c r="S31" s="1" t="s">
        <v>16</v>
      </c>
      <c r="T31" s="4">
        <v>1832</v>
      </c>
      <c r="U31" s="4">
        <v>14400</v>
      </c>
      <c r="V31" s="4">
        <v>25425</v>
      </c>
      <c r="W31" s="2" t="s">
        <v>15</v>
      </c>
    </row>
    <row r="32" spans="1:23" ht="17" x14ac:dyDescent="0.2">
      <c r="A32" s="2" t="s">
        <v>15</v>
      </c>
      <c r="B32" s="1" t="s">
        <v>16</v>
      </c>
      <c r="C32" s="1" t="s">
        <v>16</v>
      </c>
      <c r="D32" s="1" t="s">
        <v>16</v>
      </c>
      <c r="E32" s="1" t="s">
        <v>16</v>
      </c>
      <c r="F32" s="1" t="s">
        <v>16</v>
      </c>
      <c r="G32" s="3" t="s">
        <v>16</v>
      </c>
      <c r="H32" s="1">
        <v>625</v>
      </c>
      <c r="I32" s="5">
        <v>6650.3</v>
      </c>
      <c r="J32" s="5">
        <v>7470.5</v>
      </c>
      <c r="K32" s="1">
        <v>625</v>
      </c>
      <c r="L32" s="2">
        <v>23100</v>
      </c>
      <c r="M32" s="1" t="s">
        <v>16</v>
      </c>
      <c r="N32" s="1" t="s">
        <v>16</v>
      </c>
      <c r="O32" s="1" t="s">
        <v>16</v>
      </c>
      <c r="P32" s="1" t="s">
        <v>16</v>
      </c>
      <c r="Q32" s="3" t="s">
        <v>16</v>
      </c>
      <c r="R32" s="1" t="s">
        <v>16</v>
      </c>
      <c r="S32" s="1" t="s">
        <v>16</v>
      </c>
      <c r="T32" s="1" t="s">
        <v>16</v>
      </c>
      <c r="U32" s="1" t="s">
        <v>16</v>
      </c>
      <c r="V32" s="1" t="s">
        <v>16</v>
      </c>
      <c r="W32" s="2" t="s">
        <v>15</v>
      </c>
    </row>
    <row r="33" spans="1:23" ht="17" x14ac:dyDescent="0.2">
      <c r="A33" s="2" t="s">
        <v>15</v>
      </c>
      <c r="B33" s="1" t="s">
        <v>16</v>
      </c>
      <c r="C33" s="1" t="s">
        <v>16</v>
      </c>
      <c r="D33" s="1" t="s">
        <v>16</v>
      </c>
      <c r="E33" s="1" t="s">
        <v>16</v>
      </c>
      <c r="F33" s="1" t="s">
        <v>16</v>
      </c>
      <c r="G33" s="3" t="s">
        <v>16</v>
      </c>
      <c r="H33" s="1">
        <v>625</v>
      </c>
      <c r="I33" s="5">
        <v>6733.45</v>
      </c>
      <c r="J33" s="5">
        <v>7508.8</v>
      </c>
      <c r="K33" s="1">
        <v>625</v>
      </c>
      <c r="L33" s="2">
        <v>23200</v>
      </c>
      <c r="M33" s="1" t="s">
        <v>16</v>
      </c>
      <c r="N33" s="1" t="s">
        <v>16</v>
      </c>
      <c r="O33" s="1" t="s">
        <v>16</v>
      </c>
      <c r="P33" s="1" t="s">
        <v>16</v>
      </c>
      <c r="Q33" s="3" t="s">
        <v>16</v>
      </c>
      <c r="R33" s="1" t="s">
        <v>16</v>
      </c>
      <c r="S33" s="1" t="s">
        <v>16</v>
      </c>
      <c r="T33" s="1" t="s">
        <v>16</v>
      </c>
      <c r="U33" s="1" t="s">
        <v>16</v>
      </c>
      <c r="V33" s="1" t="s">
        <v>16</v>
      </c>
      <c r="W33" s="2" t="s">
        <v>15</v>
      </c>
    </row>
    <row r="34" spans="1:23" ht="17" x14ac:dyDescent="0.2">
      <c r="A34" s="2" t="s">
        <v>15</v>
      </c>
      <c r="B34" s="1" t="s">
        <v>16</v>
      </c>
      <c r="C34" s="1" t="s">
        <v>16</v>
      </c>
      <c r="D34" s="1" t="s">
        <v>16</v>
      </c>
      <c r="E34" s="1" t="s">
        <v>16</v>
      </c>
      <c r="F34" s="1" t="s">
        <v>16</v>
      </c>
      <c r="G34" s="3" t="s">
        <v>16</v>
      </c>
      <c r="H34" s="1">
        <v>625</v>
      </c>
      <c r="I34" s="5">
        <v>6463</v>
      </c>
      <c r="J34" s="5">
        <v>7564.1</v>
      </c>
      <c r="K34" s="1">
        <v>625</v>
      </c>
      <c r="L34" s="2">
        <v>23300</v>
      </c>
      <c r="M34" s="1" t="s">
        <v>16</v>
      </c>
      <c r="N34" s="1" t="s">
        <v>16</v>
      </c>
      <c r="O34" s="1" t="s">
        <v>16</v>
      </c>
      <c r="P34" s="1" t="s">
        <v>16</v>
      </c>
      <c r="Q34" s="3" t="s">
        <v>16</v>
      </c>
      <c r="R34" s="1" t="s">
        <v>16</v>
      </c>
      <c r="S34" s="1" t="s">
        <v>16</v>
      </c>
      <c r="T34" s="1" t="s">
        <v>16</v>
      </c>
      <c r="U34" s="1" t="s">
        <v>16</v>
      </c>
      <c r="V34" s="1" t="s">
        <v>16</v>
      </c>
      <c r="W34" s="2" t="s">
        <v>15</v>
      </c>
    </row>
    <row r="35" spans="1:23" ht="17" x14ac:dyDescent="0.2">
      <c r="A35" s="2" t="s">
        <v>15</v>
      </c>
      <c r="B35" s="1" t="s">
        <v>16</v>
      </c>
      <c r="C35" s="1" t="s">
        <v>16</v>
      </c>
      <c r="D35" s="1" t="s">
        <v>16</v>
      </c>
      <c r="E35" s="1" t="s">
        <v>16</v>
      </c>
      <c r="F35" s="1" t="s">
        <v>16</v>
      </c>
      <c r="G35" s="3" t="s">
        <v>16</v>
      </c>
      <c r="H35" s="1">
        <v>625</v>
      </c>
      <c r="I35" s="5">
        <v>6368.8</v>
      </c>
      <c r="J35" s="5">
        <v>7297.85</v>
      </c>
      <c r="K35" s="1">
        <v>625</v>
      </c>
      <c r="L35" s="2">
        <v>23400</v>
      </c>
      <c r="M35" s="1" t="s">
        <v>16</v>
      </c>
      <c r="N35" s="1" t="s">
        <v>16</v>
      </c>
      <c r="O35" s="1" t="s">
        <v>16</v>
      </c>
      <c r="P35" s="1" t="s">
        <v>16</v>
      </c>
      <c r="Q35" s="3" t="s">
        <v>16</v>
      </c>
      <c r="R35" s="1" t="s">
        <v>16</v>
      </c>
      <c r="S35" s="1" t="s">
        <v>16</v>
      </c>
      <c r="T35" s="1" t="s">
        <v>16</v>
      </c>
      <c r="U35" s="1" t="s">
        <v>16</v>
      </c>
      <c r="V35" s="1" t="s">
        <v>16</v>
      </c>
      <c r="W35" s="2" t="s">
        <v>15</v>
      </c>
    </row>
    <row r="36" spans="1:23" ht="17" x14ac:dyDescent="0.2">
      <c r="A36" s="2" t="s">
        <v>15</v>
      </c>
      <c r="B36" s="1">
        <v>25</v>
      </c>
      <c r="C36" s="1" t="s">
        <v>16</v>
      </c>
      <c r="D36" s="1" t="s">
        <v>16</v>
      </c>
      <c r="E36" s="1" t="s">
        <v>16</v>
      </c>
      <c r="F36" s="1" t="s">
        <v>16</v>
      </c>
      <c r="G36" s="3" t="s">
        <v>16</v>
      </c>
      <c r="H36" s="1">
        <v>625</v>
      </c>
      <c r="I36" s="5">
        <v>6733.65</v>
      </c>
      <c r="J36" s="5">
        <v>6839.8</v>
      </c>
      <c r="K36" s="1">
        <v>125</v>
      </c>
      <c r="L36" s="2">
        <v>23500</v>
      </c>
      <c r="M36" s="4">
        <v>2025</v>
      </c>
      <c r="N36" s="1">
        <v>0.7</v>
      </c>
      <c r="O36" s="1">
        <v>0.9</v>
      </c>
      <c r="P36" s="1">
        <v>100</v>
      </c>
      <c r="Q36" s="7">
        <v>-0.75</v>
      </c>
      <c r="R36" s="2">
        <v>0.75</v>
      </c>
      <c r="S36" s="1" t="s">
        <v>16</v>
      </c>
      <c r="T36" s="4">
        <v>4703</v>
      </c>
      <c r="U36" s="4">
        <v>65850</v>
      </c>
      <c r="V36" s="4">
        <v>66900</v>
      </c>
      <c r="W36" s="2" t="s">
        <v>15</v>
      </c>
    </row>
    <row r="37" spans="1:23" ht="17" x14ac:dyDescent="0.2">
      <c r="A37" s="2" t="s">
        <v>15</v>
      </c>
      <c r="B37" s="1" t="s">
        <v>16</v>
      </c>
      <c r="C37" s="1" t="s">
        <v>16</v>
      </c>
      <c r="D37" s="1" t="s">
        <v>16</v>
      </c>
      <c r="E37" s="1" t="s">
        <v>16</v>
      </c>
      <c r="F37" s="1" t="s">
        <v>16</v>
      </c>
      <c r="G37" s="3" t="s">
        <v>16</v>
      </c>
      <c r="H37" s="1">
        <v>625</v>
      </c>
      <c r="I37" s="5">
        <v>6345.65</v>
      </c>
      <c r="J37" s="5">
        <v>7228.15</v>
      </c>
      <c r="K37" s="1">
        <v>625</v>
      </c>
      <c r="L37" s="2">
        <v>23600</v>
      </c>
      <c r="M37" s="1" t="s">
        <v>16</v>
      </c>
      <c r="N37" s="1" t="s">
        <v>16</v>
      </c>
      <c r="O37" s="1" t="s">
        <v>16</v>
      </c>
      <c r="P37" s="1" t="s">
        <v>16</v>
      </c>
      <c r="Q37" s="3" t="s">
        <v>16</v>
      </c>
      <c r="R37" s="1" t="s">
        <v>16</v>
      </c>
      <c r="S37" s="1" t="s">
        <v>16</v>
      </c>
      <c r="T37" s="1" t="s">
        <v>16</v>
      </c>
      <c r="U37" s="1" t="s">
        <v>16</v>
      </c>
      <c r="V37" s="1" t="s">
        <v>16</v>
      </c>
      <c r="W37" s="2" t="s">
        <v>15</v>
      </c>
    </row>
    <row r="38" spans="1:23" ht="17" x14ac:dyDescent="0.2">
      <c r="A38" s="2" t="s">
        <v>15</v>
      </c>
      <c r="B38" s="1" t="s">
        <v>16</v>
      </c>
      <c r="C38" s="1" t="s">
        <v>16</v>
      </c>
      <c r="D38" s="1" t="s">
        <v>16</v>
      </c>
      <c r="E38" s="1" t="s">
        <v>16</v>
      </c>
      <c r="F38" s="1" t="s">
        <v>16</v>
      </c>
      <c r="G38" s="3" t="s">
        <v>16</v>
      </c>
      <c r="H38" s="1">
        <v>625</v>
      </c>
      <c r="I38" s="5">
        <v>6260.65</v>
      </c>
      <c r="J38" s="5">
        <v>7120.4</v>
      </c>
      <c r="K38" s="1">
        <v>625</v>
      </c>
      <c r="L38" s="2">
        <v>23700</v>
      </c>
      <c r="M38" s="1" t="s">
        <v>16</v>
      </c>
      <c r="N38" s="1" t="s">
        <v>16</v>
      </c>
      <c r="O38" s="1" t="s">
        <v>16</v>
      </c>
      <c r="P38" s="1" t="s">
        <v>16</v>
      </c>
      <c r="Q38" s="3" t="s">
        <v>16</v>
      </c>
      <c r="R38" s="1" t="s">
        <v>16</v>
      </c>
      <c r="S38" s="1" t="s">
        <v>16</v>
      </c>
      <c r="T38" s="1" t="s">
        <v>16</v>
      </c>
      <c r="U38" s="1" t="s">
        <v>16</v>
      </c>
      <c r="V38" s="1" t="s">
        <v>16</v>
      </c>
      <c r="W38" s="2" t="s">
        <v>15</v>
      </c>
    </row>
    <row r="39" spans="1:23" ht="17" x14ac:dyDescent="0.2">
      <c r="A39" s="2" t="s">
        <v>15</v>
      </c>
      <c r="B39" s="1" t="s">
        <v>16</v>
      </c>
      <c r="C39" s="1" t="s">
        <v>16</v>
      </c>
      <c r="D39" s="1" t="s">
        <v>16</v>
      </c>
      <c r="E39" s="1" t="s">
        <v>16</v>
      </c>
      <c r="F39" s="1" t="s">
        <v>16</v>
      </c>
      <c r="G39" s="3" t="s">
        <v>16</v>
      </c>
      <c r="H39" s="1">
        <v>625</v>
      </c>
      <c r="I39" s="5">
        <v>6012.85</v>
      </c>
      <c r="J39" s="5">
        <v>6972.65</v>
      </c>
      <c r="K39" s="1">
        <v>625</v>
      </c>
      <c r="L39" s="2">
        <v>23800</v>
      </c>
      <c r="M39" s="1" t="s">
        <v>16</v>
      </c>
      <c r="N39" s="1" t="s">
        <v>16</v>
      </c>
      <c r="O39" s="1" t="s">
        <v>16</v>
      </c>
      <c r="P39" s="1" t="s">
        <v>16</v>
      </c>
      <c r="Q39" s="3" t="s">
        <v>16</v>
      </c>
      <c r="R39" s="1" t="s">
        <v>16</v>
      </c>
      <c r="S39" s="1" t="s">
        <v>16</v>
      </c>
      <c r="T39" s="1" t="s">
        <v>16</v>
      </c>
      <c r="U39" s="1" t="s">
        <v>16</v>
      </c>
      <c r="V39" s="1" t="s">
        <v>16</v>
      </c>
      <c r="W39" s="2" t="s">
        <v>15</v>
      </c>
    </row>
    <row r="40" spans="1:23" ht="17" x14ac:dyDescent="0.2">
      <c r="A40" s="2" t="s">
        <v>15</v>
      </c>
      <c r="B40" s="1" t="s">
        <v>16</v>
      </c>
      <c r="C40" s="1" t="s">
        <v>16</v>
      </c>
      <c r="D40" s="1" t="s">
        <v>16</v>
      </c>
      <c r="E40" s="1" t="s">
        <v>16</v>
      </c>
      <c r="F40" s="1" t="s">
        <v>16</v>
      </c>
      <c r="G40" s="3" t="s">
        <v>16</v>
      </c>
      <c r="H40" s="1">
        <v>625</v>
      </c>
      <c r="I40" s="5">
        <v>5915.45</v>
      </c>
      <c r="J40" s="5">
        <v>6865.8</v>
      </c>
      <c r="K40" s="1">
        <v>625</v>
      </c>
      <c r="L40" s="2">
        <v>23900</v>
      </c>
      <c r="M40" s="1" t="s">
        <v>16</v>
      </c>
      <c r="N40" s="1" t="s">
        <v>16</v>
      </c>
      <c r="O40" s="1" t="s">
        <v>16</v>
      </c>
      <c r="P40" s="1" t="s">
        <v>16</v>
      </c>
      <c r="Q40" s="3" t="s">
        <v>16</v>
      </c>
      <c r="R40" s="1" t="s">
        <v>16</v>
      </c>
      <c r="S40" s="1" t="s">
        <v>16</v>
      </c>
      <c r="T40" s="1" t="s">
        <v>16</v>
      </c>
      <c r="U40" s="1" t="s">
        <v>16</v>
      </c>
      <c r="V40" s="1" t="s">
        <v>16</v>
      </c>
      <c r="W40" s="2" t="s">
        <v>15</v>
      </c>
    </row>
    <row r="41" spans="1:23" ht="17" x14ac:dyDescent="0.2">
      <c r="A41" s="2" t="s">
        <v>15</v>
      </c>
      <c r="B41" s="1" t="s">
        <v>16</v>
      </c>
      <c r="C41" s="1" t="s">
        <v>16</v>
      </c>
      <c r="D41" s="1" t="s">
        <v>16</v>
      </c>
      <c r="E41" s="1" t="s">
        <v>16</v>
      </c>
      <c r="F41" s="1" t="s">
        <v>16</v>
      </c>
      <c r="G41" s="3" t="s">
        <v>16</v>
      </c>
      <c r="H41" s="1">
        <v>625</v>
      </c>
      <c r="I41" s="5">
        <v>6260.3</v>
      </c>
      <c r="J41" s="5">
        <v>6392.7</v>
      </c>
      <c r="K41" s="1">
        <v>625</v>
      </c>
      <c r="L41" s="2">
        <v>24000</v>
      </c>
      <c r="M41" s="1">
        <v>25</v>
      </c>
      <c r="N41" s="1">
        <v>0.85</v>
      </c>
      <c r="O41" s="1">
        <v>1.25</v>
      </c>
      <c r="P41" s="1">
        <v>200</v>
      </c>
      <c r="Q41" s="7">
        <v>-0.6</v>
      </c>
      <c r="R41" s="2">
        <v>1.1000000000000001</v>
      </c>
      <c r="S41" s="1" t="s">
        <v>16</v>
      </c>
      <c r="T41" s="4">
        <v>4799</v>
      </c>
      <c r="U41" s="4">
        <v>53400</v>
      </c>
      <c r="V41" s="4">
        <v>66225</v>
      </c>
      <c r="W41" s="2" t="s">
        <v>15</v>
      </c>
    </row>
    <row r="42" spans="1:23" ht="17" x14ac:dyDescent="0.2">
      <c r="A42" s="2" t="s">
        <v>15</v>
      </c>
      <c r="B42" s="1" t="s">
        <v>16</v>
      </c>
      <c r="C42" s="1" t="s">
        <v>16</v>
      </c>
      <c r="D42" s="1" t="s">
        <v>16</v>
      </c>
      <c r="E42" s="1" t="s">
        <v>16</v>
      </c>
      <c r="F42" s="1" t="s">
        <v>16</v>
      </c>
      <c r="G42" s="3" t="s">
        <v>16</v>
      </c>
      <c r="H42" s="1">
        <v>625</v>
      </c>
      <c r="I42" s="5">
        <v>5878.15</v>
      </c>
      <c r="J42" s="5">
        <v>6638.75</v>
      </c>
      <c r="K42" s="1">
        <v>625</v>
      </c>
      <c r="L42" s="2">
        <v>24100</v>
      </c>
      <c r="M42" s="1" t="s">
        <v>16</v>
      </c>
      <c r="N42" s="1" t="s">
        <v>16</v>
      </c>
      <c r="O42" s="1" t="s">
        <v>16</v>
      </c>
      <c r="P42" s="1" t="s">
        <v>16</v>
      </c>
      <c r="Q42" s="3" t="s">
        <v>16</v>
      </c>
      <c r="R42" s="1" t="s">
        <v>16</v>
      </c>
      <c r="S42" s="1" t="s">
        <v>16</v>
      </c>
      <c r="T42" s="1" t="s">
        <v>16</v>
      </c>
      <c r="U42" s="1" t="s">
        <v>16</v>
      </c>
      <c r="V42" s="1" t="s">
        <v>16</v>
      </c>
      <c r="W42" s="2" t="s">
        <v>15</v>
      </c>
    </row>
    <row r="43" spans="1:23" ht="17" x14ac:dyDescent="0.2">
      <c r="A43" s="2" t="s">
        <v>15</v>
      </c>
      <c r="B43" s="1" t="s">
        <v>16</v>
      </c>
      <c r="C43" s="1" t="s">
        <v>16</v>
      </c>
      <c r="D43" s="1" t="s">
        <v>16</v>
      </c>
      <c r="E43" s="1" t="s">
        <v>16</v>
      </c>
      <c r="F43" s="1" t="s">
        <v>16</v>
      </c>
      <c r="G43" s="3" t="s">
        <v>16</v>
      </c>
      <c r="H43" s="1">
        <v>625</v>
      </c>
      <c r="I43" s="5">
        <v>5635.4</v>
      </c>
      <c r="J43" s="5">
        <v>6525.3</v>
      </c>
      <c r="K43" s="1">
        <v>625</v>
      </c>
      <c r="L43" s="2">
        <v>24200</v>
      </c>
      <c r="M43" s="1" t="s">
        <v>16</v>
      </c>
      <c r="N43" s="1" t="s">
        <v>16</v>
      </c>
      <c r="O43" s="1" t="s">
        <v>16</v>
      </c>
      <c r="P43" s="1" t="s">
        <v>16</v>
      </c>
      <c r="Q43" s="3" t="s">
        <v>16</v>
      </c>
      <c r="R43" s="1" t="s">
        <v>16</v>
      </c>
      <c r="S43" s="1" t="s">
        <v>16</v>
      </c>
      <c r="T43" s="1" t="s">
        <v>16</v>
      </c>
      <c r="U43" s="1" t="s">
        <v>16</v>
      </c>
      <c r="V43" s="1" t="s">
        <v>16</v>
      </c>
      <c r="W43" s="2" t="s">
        <v>15</v>
      </c>
    </row>
    <row r="44" spans="1:23" ht="17" x14ac:dyDescent="0.2">
      <c r="A44" s="2" t="s">
        <v>15</v>
      </c>
      <c r="B44" s="1" t="s">
        <v>16</v>
      </c>
      <c r="C44" s="1" t="s">
        <v>16</v>
      </c>
      <c r="D44" s="1" t="s">
        <v>16</v>
      </c>
      <c r="E44" s="1" t="s">
        <v>16</v>
      </c>
      <c r="F44" s="1" t="s">
        <v>16</v>
      </c>
      <c r="G44" s="3" t="s">
        <v>16</v>
      </c>
      <c r="H44" s="1">
        <v>625</v>
      </c>
      <c r="I44" s="5">
        <v>5685.25</v>
      </c>
      <c r="J44" s="5">
        <v>6422.4</v>
      </c>
      <c r="K44" s="1">
        <v>625</v>
      </c>
      <c r="L44" s="2">
        <v>24300</v>
      </c>
      <c r="M44" s="1" t="s">
        <v>16</v>
      </c>
      <c r="N44" s="1" t="s">
        <v>16</v>
      </c>
      <c r="O44" s="1" t="s">
        <v>16</v>
      </c>
      <c r="P44" s="1" t="s">
        <v>16</v>
      </c>
      <c r="Q44" s="3" t="s">
        <v>16</v>
      </c>
      <c r="R44" s="1" t="s">
        <v>16</v>
      </c>
      <c r="S44" s="1" t="s">
        <v>16</v>
      </c>
      <c r="T44" s="1" t="s">
        <v>16</v>
      </c>
      <c r="U44" s="1" t="s">
        <v>16</v>
      </c>
      <c r="V44" s="1" t="s">
        <v>16</v>
      </c>
      <c r="W44" s="2" t="s">
        <v>15</v>
      </c>
    </row>
    <row r="45" spans="1:23" ht="17" x14ac:dyDescent="0.2">
      <c r="A45" s="2" t="s">
        <v>15</v>
      </c>
      <c r="B45" s="1" t="s">
        <v>16</v>
      </c>
      <c r="C45" s="1" t="s">
        <v>16</v>
      </c>
      <c r="D45" s="1" t="s">
        <v>16</v>
      </c>
      <c r="E45" s="1" t="s">
        <v>16</v>
      </c>
      <c r="F45" s="1" t="s">
        <v>16</v>
      </c>
      <c r="G45" s="3" t="s">
        <v>16</v>
      </c>
      <c r="H45" s="1">
        <v>625</v>
      </c>
      <c r="I45" s="5">
        <v>5599.05</v>
      </c>
      <c r="J45" s="5">
        <v>6316.3</v>
      </c>
      <c r="K45" s="1">
        <v>625</v>
      </c>
      <c r="L45" s="2">
        <v>24400</v>
      </c>
      <c r="M45" s="1">
        <v>200</v>
      </c>
      <c r="N45" s="1">
        <v>0.65</v>
      </c>
      <c r="O45" s="1">
        <v>2.5</v>
      </c>
      <c r="P45" s="1">
        <v>500</v>
      </c>
      <c r="Q45" s="41">
        <v>-1651.15</v>
      </c>
      <c r="R45" s="2">
        <v>1</v>
      </c>
      <c r="S45" s="1" t="s">
        <v>16</v>
      </c>
      <c r="T45" s="1">
        <v>112</v>
      </c>
      <c r="U45" s="4">
        <v>1000</v>
      </c>
      <c r="V45" s="4">
        <v>1000</v>
      </c>
      <c r="W45" s="2" t="s">
        <v>15</v>
      </c>
    </row>
    <row r="46" spans="1:23" ht="17" x14ac:dyDescent="0.2">
      <c r="A46" s="2" t="s">
        <v>15</v>
      </c>
      <c r="B46" s="1" t="s">
        <v>16</v>
      </c>
      <c r="C46" s="1" t="s">
        <v>16</v>
      </c>
      <c r="D46" s="1" t="s">
        <v>16</v>
      </c>
      <c r="E46" s="1" t="s">
        <v>16</v>
      </c>
      <c r="F46" s="1" t="s">
        <v>16</v>
      </c>
      <c r="G46" s="3" t="s">
        <v>16</v>
      </c>
      <c r="H46" s="1">
        <v>625</v>
      </c>
      <c r="I46" s="5">
        <v>5737.8</v>
      </c>
      <c r="J46" s="5">
        <v>5841</v>
      </c>
      <c r="K46" s="1">
        <v>125</v>
      </c>
      <c r="L46" s="2">
        <v>24500</v>
      </c>
      <c r="M46" s="1">
        <v>50</v>
      </c>
      <c r="N46" s="1">
        <v>0.7</v>
      </c>
      <c r="O46" s="1">
        <v>1</v>
      </c>
      <c r="P46" s="1">
        <v>50</v>
      </c>
      <c r="Q46" s="7">
        <v>-0.95</v>
      </c>
      <c r="R46" s="2">
        <v>0.85</v>
      </c>
      <c r="S46" s="1" t="s">
        <v>16</v>
      </c>
      <c r="T46" s="1">
        <v>980</v>
      </c>
      <c r="U46" s="4">
        <v>5750</v>
      </c>
      <c r="V46" s="4">
        <v>11000</v>
      </c>
      <c r="W46" s="2" t="s">
        <v>15</v>
      </c>
    </row>
    <row r="47" spans="1:23" ht="17" x14ac:dyDescent="0.2">
      <c r="A47" s="2" t="s">
        <v>15</v>
      </c>
      <c r="B47" s="1" t="s">
        <v>16</v>
      </c>
      <c r="C47" s="1" t="s">
        <v>16</v>
      </c>
      <c r="D47" s="1" t="s">
        <v>16</v>
      </c>
      <c r="E47" s="1" t="s">
        <v>16</v>
      </c>
      <c r="F47" s="1" t="s">
        <v>16</v>
      </c>
      <c r="G47" s="3" t="s">
        <v>16</v>
      </c>
      <c r="H47" s="1">
        <v>625</v>
      </c>
      <c r="I47" s="5">
        <v>5266.95</v>
      </c>
      <c r="J47" s="5">
        <v>5989.5</v>
      </c>
      <c r="K47" s="1">
        <v>625</v>
      </c>
      <c r="L47" s="2">
        <v>24600</v>
      </c>
      <c r="M47" s="1" t="s">
        <v>16</v>
      </c>
      <c r="N47" s="1" t="s">
        <v>16</v>
      </c>
      <c r="O47" s="1" t="s">
        <v>16</v>
      </c>
      <c r="P47" s="1" t="s">
        <v>16</v>
      </c>
      <c r="Q47" s="3" t="s">
        <v>16</v>
      </c>
      <c r="R47" s="1" t="s">
        <v>16</v>
      </c>
      <c r="S47" s="1" t="s">
        <v>16</v>
      </c>
      <c r="T47" s="1" t="s">
        <v>16</v>
      </c>
      <c r="U47" s="1" t="s">
        <v>16</v>
      </c>
      <c r="V47" s="1" t="s">
        <v>16</v>
      </c>
      <c r="W47" s="2" t="s">
        <v>15</v>
      </c>
    </row>
    <row r="48" spans="1:23" ht="17" x14ac:dyDescent="0.2">
      <c r="A48" s="2" t="s">
        <v>15</v>
      </c>
      <c r="B48" s="1" t="s">
        <v>16</v>
      </c>
      <c r="C48" s="1" t="s">
        <v>16</v>
      </c>
      <c r="D48" s="1" t="s">
        <v>16</v>
      </c>
      <c r="E48" s="1" t="s">
        <v>16</v>
      </c>
      <c r="F48" s="1" t="s">
        <v>16</v>
      </c>
      <c r="G48" s="3" t="s">
        <v>16</v>
      </c>
      <c r="H48" s="1">
        <v>625</v>
      </c>
      <c r="I48" s="5">
        <v>5305.45</v>
      </c>
      <c r="J48" s="5">
        <v>5998</v>
      </c>
      <c r="K48" s="1">
        <v>625</v>
      </c>
      <c r="L48" s="2">
        <v>24700</v>
      </c>
      <c r="M48" s="1" t="s">
        <v>16</v>
      </c>
      <c r="N48" s="1" t="s">
        <v>16</v>
      </c>
      <c r="O48" s="1">
        <v>1.05</v>
      </c>
      <c r="P48" s="1">
        <v>475</v>
      </c>
      <c r="Q48" s="41">
        <v>-1807.8</v>
      </c>
      <c r="R48" s="2">
        <v>1.75</v>
      </c>
      <c r="S48" s="1" t="s">
        <v>16</v>
      </c>
      <c r="T48" s="1">
        <v>20</v>
      </c>
      <c r="U48" s="1">
        <v>500</v>
      </c>
      <c r="V48" s="1">
        <v>500</v>
      </c>
      <c r="W48" s="2" t="s">
        <v>15</v>
      </c>
    </row>
    <row r="49" spans="1:23" ht="17" x14ac:dyDescent="0.2">
      <c r="A49" s="2" t="s">
        <v>15</v>
      </c>
      <c r="B49" s="1" t="s">
        <v>16</v>
      </c>
      <c r="C49" s="1" t="s">
        <v>16</v>
      </c>
      <c r="D49" s="1" t="s">
        <v>16</v>
      </c>
      <c r="E49" s="1" t="s">
        <v>16</v>
      </c>
      <c r="F49" s="1" t="s">
        <v>16</v>
      </c>
      <c r="G49" s="3" t="s">
        <v>16</v>
      </c>
      <c r="H49" s="1">
        <v>625</v>
      </c>
      <c r="I49" s="5">
        <v>5081.7</v>
      </c>
      <c r="J49" s="5">
        <v>5878.85</v>
      </c>
      <c r="K49" s="1">
        <v>625</v>
      </c>
      <c r="L49" s="2">
        <v>24800</v>
      </c>
      <c r="M49" s="1" t="s">
        <v>16</v>
      </c>
      <c r="N49" s="1" t="s">
        <v>16</v>
      </c>
      <c r="O49" s="1">
        <v>3.05</v>
      </c>
      <c r="P49" s="4">
        <v>2500</v>
      </c>
      <c r="Q49" s="3" t="s">
        <v>16</v>
      </c>
      <c r="R49" s="1" t="s">
        <v>16</v>
      </c>
      <c r="S49" s="1" t="s">
        <v>16</v>
      </c>
      <c r="T49" s="1" t="s">
        <v>16</v>
      </c>
      <c r="U49" s="1" t="s">
        <v>16</v>
      </c>
      <c r="V49" s="1" t="s">
        <v>16</v>
      </c>
      <c r="W49" s="2" t="s">
        <v>15</v>
      </c>
    </row>
    <row r="50" spans="1:23" ht="17" x14ac:dyDescent="0.2">
      <c r="A50" s="2" t="s">
        <v>15</v>
      </c>
      <c r="B50" s="1" t="s">
        <v>16</v>
      </c>
      <c r="C50" s="1" t="s">
        <v>16</v>
      </c>
      <c r="D50" s="1" t="s">
        <v>16</v>
      </c>
      <c r="E50" s="1" t="s">
        <v>16</v>
      </c>
      <c r="F50" s="1" t="s">
        <v>16</v>
      </c>
      <c r="G50" s="3" t="s">
        <v>16</v>
      </c>
      <c r="H50" s="1">
        <v>625</v>
      </c>
      <c r="I50" s="5">
        <v>4998.95</v>
      </c>
      <c r="J50" s="5">
        <v>5769.05</v>
      </c>
      <c r="K50" s="1">
        <v>625</v>
      </c>
      <c r="L50" s="2">
        <v>24900</v>
      </c>
      <c r="M50" s="1" t="s">
        <v>16</v>
      </c>
      <c r="N50" s="1" t="s">
        <v>16</v>
      </c>
      <c r="O50" s="1">
        <v>0.95</v>
      </c>
      <c r="P50" s="1">
        <v>25</v>
      </c>
      <c r="Q50" s="3" t="s">
        <v>16</v>
      </c>
      <c r="R50" s="1" t="s">
        <v>16</v>
      </c>
      <c r="S50" s="1" t="s">
        <v>16</v>
      </c>
      <c r="T50" s="1" t="s">
        <v>16</v>
      </c>
      <c r="U50" s="1" t="s">
        <v>16</v>
      </c>
      <c r="V50" s="1" t="s">
        <v>16</v>
      </c>
      <c r="W50" s="2" t="s">
        <v>15</v>
      </c>
    </row>
    <row r="51" spans="1:23" ht="17" x14ac:dyDescent="0.2">
      <c r="A51" s="2" t="s">
        <v>15</v>
      </c>
      <c r="B51" s="1">
        <v>200</v>
      </c>
      <c r="C51" s="1">
        <v>75</v>
      </c>
      <c r="D51" s="1">
        <v>15</v>
      </c>
      <c r="E51" s="1" t="s">
        <v>16</v>
      </c>
      <c r="F51" s="8">
        <v>5391.35</v>
      </c>
      <c r="G51" s="6">
        <v>770.8</v>
      </c>
      <c r="H51" s="1">
        <v>625</v>
      </c>
      <c r="I51" s="5">
        <v>5261.4</v>
      </c>
      <c r="J51" s="5">
        <v>5374.6</v>
      </c>
      <c r="K51" s="1">
        <v>125</v>
      </c>
      <c r="L51" s="2">
        <v>25000</v>
      </c>
      <c r="M51" s="4">
        <v>1000</v>
      </c>
      <c r="N51" s="1">
        <v>0.8</v>
      </c>
      <c r="O51" s="1">
        <v>0.95</v>
      </c>
      <c r="P51" s="4">
        <v>2150</v>
      </c>
      <c r="Q51" s="7">
        <v>-1.3</v>
      </c>
      <c r="R51" s="2">
        <v>0.95</v>
      </c>
      <c r="S51" s="1" t="s">
        <v>16</v>
      </c>
      <c r="T51" s="4">
        <v>6439</v>
      </c>
      <c r="U51" s="4">
        <v>16975</v>
      </c>
      <c r="V51" s="4">
        <v>74925</v>
      </c>
      <c r="W51" s="2" t="s">
        <v>15</v>
      </c>
    </row>
    <row r="52" spans="1:23" ht="17" x14ac:dyDescent="0.2">
      <c r="A52" s="2" t="s">
        <v>15</v>
      </c>
      <c r="B52" s="1" t="s">
        <v>16</v>
      </c>
      <c r="C52" s="1" t="s">
        <v>16</v>
      </c>
      <c r="D52" s="1" t="s">
        <v>16</v>
      </c>
      <c r="E52" s="1" t="s">
        <v>16</v>
      </c>
      <c r="F52" s="1" t="s">
        <v>16</v>
      </c>
      <c r="G52" s="3" t="s">
        <v>16</v>
      </c>
      <c r="H52" s="1">
        <v>625</v>
      </c>
      <c r="I52" s="5">
        <v>4817.1000000000004</v>
      </c>
      <c r="J52" s="5">
        <v>5558.3</v>
      </c>
      <c r="K52" s="1">
        <v>625</v>
      </c>
      <c r="L52" s="2">
        <v>25100</v>
      </c>
      <c r="M52" s="1" t="s">
        <v>16</v>
      </c>
      <c r="N52" s="1" t="s">
        <v>16</v>
      </c>
      <c r="O52" s="1">
        <v>3.05</v>
      </c>
      <c r="P52" s="4">
        <v>2500</v>
      </c>
      <c r="Q52" s="3" t="s">
        <v>16</v>
      </c>
      <c r="R52" s="1" t="s">
        <v>16</v>
      </c>
      <c r="S52" s="1" t="s">
        <v>16</v>
      </c>
      <c r="T52" s="1" t="s">
        <v>16</v>
      </c>
      <c r="U52" s="1" t="s">
        <v>16</v>
      </c>
      <c r="V52" s="1" t="s">
        <v>16</v>
      </c>
      <c r="W52" s="2" t="s">
        <v>15</v>
      </c>
    </row>
    <row r="53" spans="1:23" ht="17" x14ac:dyDescent="0.2">
      <c r="A53" s="2" t="s">
        <v>15</v>
      </c>
      <c r="B53" s="1" t="s">
        <v>16</v>
      </c>
      <c r="C53" s="1" t="s">
        <v>16</v>
      </c>
      <c r="D53" s="1" t="s">
        <v>16</v>
      </c>
      <c r="E53" s="1" t="s">
        <v>16</v>
      </c>
      <c r="F53" s="1" t="s">
        <v>16</v>
      </c>
      <c r="G53" s="3" t="s">
        <v>16</v>
      </c>
      <c r="H53" s="1">
        <v>625</v>
      </c>
      <c r="I53" s="5">
        <v>4728.3500000000004</v>
      </c>
      <c r="J53" s="5">
        <v>5445.05</v>
      </c>
      <c r="K53" s="1">
        <v>625</v>
      </c>
      <c r="L53" s="2">
        <v>25200</v>
      </c>
      <c r="M53" s="1" t="s">
        <v>16</v>
      </c>
      <c r="N53" s="1" t="s">
        <v>16</v>
      </c>
      <c r="O53" s="1">
        <v>2.5</v>
      </c>
      <c r="P53" s="1">
        <v>600</v>
      </c>
      <c r="Q53" s="3" t="s">
        <v>16</v>
      </c>
      <c r="R53" s="1" t="s">
        <v>16</v>
      </c>
      <c r="S53" s="1" t="s">
        <v>16</v>
      </c>
      <c r="T53" s="1" t="s">
        <v>16</v>
      </c>
      <c r="U53" s="1" t="s">
        <v>16</v>
      </c>
      <c r="V53" s="1" t="s">
        <v>16</v>
      </c>
      <c r="W53" s="2" t="s">
        <v>15</v>
      </c>
    </row>
    <row r="54" spans="1:23" ht="17" x14ac:dyDescent="0.2">
      <c r="A54" s="2" t="s">
        <v>15</v>
      </c>
      <c r="B54" s="1" t="s">
        <v>16</v>
      </c>
      <c r="C54" s="1" t="s">
        <v>16</v>
      </c>
      <c r="D54" s="1" t="s">
        <v>16</v>
      </c>
      <c r="E54" s="1" t="s">
        <v>16</v>
      </c>
      <c r="F54" s="1" t="s">
        <v>16</v>
      </c>
      <c r="G54" s="3" t="s">
        <v>16</v>
      </c>
      <c r="H54" s="1">
        <v>625</v>
      </c>
      <c r="I54" s="5">
        <v>4746.6000000000004</v>
      </c>
      <c r="J54" s="5">
        <v>5334.2</v>
      </c>
      <c r="K54" s="1">
        <v>625</v>
      </c>
      <c r="L54" s="2">
        <v>25300</v>
      </c>
      <c r="M54" s="1" t="s">
        <v>16</v>
      </c>
      <c r="N54" s="1" t="s">
        <v>16</v>
      </c>
      <c r="O54" s="1" t="s">
        <v>16</v>
      </c>
      <c r="P54" s="1" t="s">
        <v>16</v>
      </c>
      <c r="Q54" s="3" t="s">
        <v>16</v>
      </c>
      <c r="R54" s="1" t="s">
        <v>16</v>
      </c>
      <c r="S54" s="1" t="s">
        <v>16</v>
      </c>
      <c r="T54" s="1" t="s">
        <v>16</v>
      </c>
      <c r="U54" s="1" t="s">
        <v>16</v>
      </c>
      <c r="V54" s="1" t="s">
        <v>16</v>
      </c>
      <c r="W54" s="2" t="s">
        <v>15</v>
      </c>
    </row>
    <row r="55" spans="1:23" ht="17" x14ac:dyDescent="0.2">
      <c r="A55" s="2" t="s">
        <v>15</v>
      </c>
      <c r="B55" s="1" t="s">
        <v>16</v>
      </c>
      <c r="C55" s="1" t="s">
        <v>16</v>
      </c>
      <c r="D55" s="1" t="s">
        <v>16</v>
      </c>
      <c r="E55" s="1" t="s">
        <v>16</v>
      </c>
      <c r="F55" s="1" t="s">
        <v>16</v>
      </c>
      <c r="G55" s="3" t="s">
        <v>16</v>
      </c>
      <c r="H55" s="1">
        <v>625</v>
      </c>
      <c r="I55" s="5">
        <v>4648.45</v>
      </c>
      <c r="J55" s="5">
        <v>5227.25</v>
      </c>
      <c r="K55" s="1">
        <v>625</v>
      </c>
      <c r="L55" s="2">
        <v>25400</v>
      </c>
      <c r="M55" s="1">
        <v>25</v>
      </c>
      <c r="N55" s="1">
        <v>0.5</v>
      </c>
      <c r="O55" s="1" t="s">
        <v>16</v>
      </c>
      <c r="P55" s="1" t="s">
        <v>16</v>
      </c>
      <c r="Q55" s="3" t="s">
        <v>16</v>
      </c>
      <c r="R55" s="1" t="s">
        <v>16</v>
      </c>
      <c r="S55" s="1" t="s">
        <v>16</v>
      </c>
      <c r="T55" s="1" t="s">
        <v>16</v>
      </c>
      <c r="U55" s="1" t="s">
        <v>16</v>
      </c>
      <c r="V55" s="1" t="s">
        <v>16</v>
      </c>
      <c r="W55" s="2" t="s">
        <v>15</v>
      </c>
    </row>
    <row r="56" spans="1:23" ht="17" x14ac:dyDescent="0.2">
      <c r="A56" s="2" t="s">
        <v>15</v>
      </c>
      <c r="B56" s="1">
        <v>75</v>
      </c>
      <c r="C56" s="1">
        <v>50</v>
      </c>
      <c r="D56" s="1">
        <v>4</v>
      </c>
      <c r="E56" s="1" t="s">
        <v>16</v>
      </c>
      <c r="F56" s="8">
        <v>4860</v>
      </c>
      <c r="G56" s="7">
        <v>-228.95</v>
      </c>
      <c r="H56" s="1">
        <v>125</v>
      </c>
      <c r="I56" s="5">
        <v>4775.1499999999996</v>
      </c>
      <c r="J56" s="5">
        <v>4875.55</v>
      </c>
      <c r="K56" s="1">
        <v>125</v>
      </c>
      <c r="L56" s="2">
        <v>25500</v>
      </c>
      <c r="M56" s="4">
        <v>1100</v>
      </c>
      <c r="N56" s="1">
        <v>0.95</v>
      </c>
      <c r="O56" s="1">
        <v>1.25</v>
      </c>
      <c r="P56" s="1">
        <v>650</v>
      </c>
      <c r="Q56" s="7">
        <v>-1.85</v>
      </c>
      <c r="R56" s="2">
        <v>1</v>
      </c>
      <c r="S56" s="1" t="s">
        <v>16</v>
      </c>
      <c r="T56" s="4">
        <v>9369</v>
      </c>
      <c r="U56" s="4">
        <v>31375</v>
      </c>
      <c r="V56" s="4">
        <v>153900</v>
      </c>
      <c r="W56" s="2" t="s">
        <v>15</v>
      </c>
    </row>
    <row r="57" spans="1:23" ht="17" x14ac:dyDescent="0.2">
      <c r="A57" s="2" t="s">
        <v>15</v>
      </c>
      <c r="B57" s="1" t="s">
        <v>16</v>
      </c>
      <c r="C57" s="1" t="s">
        <v>16</v>
      </c>
      <c r="D57" s="1" t="s">
        <v>16</v>
      </c>
      <c r="E57" s="1" t="s">
        <v>16</v>
      </c>
      <c r="F57" s="1" t="s">
        <v>16</v>
      </c>
      <c r="G57" s="3" t="s">
        <v>16</v>
      </c>
      <c r="H57" s="1">
        <v>625</v>
      </c>
      <c r="I57" s="5">
        <v>4456</v>
      </c>
      <c r="J57" s="5">
        <v>5054.3500000000004</v>
      </c>
      <c r="K57" s="1">
        <v>625</v>
      </c>
      <c r="L57" s="2">
        <v>25600</v>
      </c>
      <c r="M57" s="1" t="s">
        <v>16</v>
      </c>
      <c r="N57" s="1" t="s">
        <v>16</v>
      </c>
      <c r="O57" s="1" t="s">
        <v>16</v>
      </c>
      <c r="P57" s="1" t="s">
        <v>16</v>
      </c>
      <c r="Q57" s="3" t="s">
        <v>16</v>
      </c>
      <c r="R57" s="1" t="s">
        <v>16</v>
      </c>
      <c r="S57" s="1" t="s">
        <v>16</v>
      </c>
      <c r="T57" s="1" t="s">
        <v>16</v>
      </c>
      <c r="U57" s="1" t="s">
        <v>16</v>
      </c>
      <c r="V57" s="1" t="s">
        <v>16</v>
      </c>
      <c r="W57" s="2" t="s">
        <v>15</v>
      </c>
    </row>
    <row r="58" spans="1:23" ht="17" x14ac:dyDescent="0.2">
      <c r="A58" s="2" t="s">
        <v>15</v>
      </c>
      <c r="B58" s="1" t="s">
        <v>16</v>
      </c>
      <c r="C58" s="1" t="s">
        <v>16</v>
      </c>
      <c r="D58" s="1" t="s">
        <v>16</v>
      </c>
      <c r="E58" s="1" t="s">
        <v>16</v>
      </c>
      <c r="F58" s="1" t="s">
        <v>16</v>
      </c>
      <c r="G58" s="3" t="s">
        <v>16</v>
      </c>
      <c r="H58" s="1">
        <v>625</v>
      </c>
      <c r="I58" s="5">
        <v>4273.1000000000004</v>
      </c>
      <c r="J58" s="5">
        <v>4912.75</v>
      </c>
      <c r="K58" s="1">
        <v>625</v>
      </c>
      <c r="L58" s="2">
        <v>25700</v>
      </c>
      <c r="M58" s="1">
        <v>25</v>
      </c>
      <c r="N58" s="1">
        <v>0.1</v>
      </c>
      <c r="O58" s="1">
        <v>1.9</v>
      </c>
      <c r="P58" s="1">
        <v>600</v>
      </c>
      <c r="Q58" s="41">
        <v>-2387.5</v>
      </c>
      <c r="R58" s="2">
        <v>2.4500000000000002</v>
      </c>
      <c r="S58" s="1" t="s">
        <v>16</v>
      </c>
      <c r="T58" s="1">
        <v>1</v>
      </c>
      <c r="U58" s="1">
        <v>25</v>
      </c>
      <c r="V58" s="1">
        <v>25</v>
      </c>
      <c r="W58" s="2" t="s">
        <v>15</v>
      </c>
    </row>
    <row r="59" spans="1:23" ht="17" x14ac:dyDescent="0.2">
      <c r="A59" s="2" t="s">
        <v>15</v>
      </c>
      <c r="B59" s="1" t="s">
        <v>16</v>
      </c>
      <c r="C59" s="1" t="s">
        <v>16</v>
      </c>
      <c r="D59" s="1" t="s">
        <v>16</v>
      </c>
      <c r="E59" s="1" t="s">
        <v>16</v>
      </c>
      <c r="F59" s="1" t="s">
        <v>16</v>
      </c>
      <c r="G59" s="3" t="s">
        <v>16</v>
      </c>
      <c r="H59" s="1">
        <v>625</v>
      </c>
      <c r="I59" s="5">
        <v>4171.05</v>
      </c>
      <c r="J59" s="5">
        <v>4843.3</v>
      </c>
      <c r="K59" s="1">
        <v>625</v>
      </c>
      <c r="L59" s="2">
        <v>25800</v>
      </c>
      <c r="M59" s="4">
        <v>1500</v>
      </c>
      <c r="N59" s="1">
        <v>1.1000000000000001</v>
      </c>
      <c r="O59" s="1">
        <v>1.45</v>
      </c>
      <c r="P59" s="1">
        <v>600</v>
      </c>
      <c r="Q59" s="41">
        <v>-2451.25</v>
      </c>
      <c r="R59" s="2">
        <v>1.25</v>
      </c>
      <c r="S59" s="1" t="s">
        <v>16</v>
      </c>
      <c r="T59" s="1">
        <v>266</v>
      </c>
      <c r="U59" s="1">
        <v>575</v>
      </c>
      <c r="V59" s="1">
        <v>575</v>
      </c>
      <c r="W59" s="2" t="s">
        <v>15</v>
      </c>
    </row>
    <row r="60" spans="1:23" ht="17" x14ac:dyDescent="0.2">
      <c r="A60" s="2" t="s">
        <v>15</v>
      </c>
      <c r="B60" s="1" t="s">
        <v>16</v>
      </c>
      <c r="C60" s="1" t="s">
        <v>16</v>
      </c>
      <c r="D60" s="1" t="s">
        <v>16</v>
      </c>
      <c r="E60" s="1" t="s">
        <v>16</v>
      </c>
      <c r="F60" s="1" t="s">
        <v>16</v>
      </c>
      <c r="G60" s="3" t="s">
        <v>16</v>
      </c>
      <c r="H60" s="1">
        <v>625</v>
      </c>
      <c r="I60" s="5">
        <v>4082.35</v>
      </c>
      <c r="J60" s="5">
        <v>4738.45</v>
      </c>
      <c r="K60" s="1">
        <v>625</v>
      </c>
      <c r="L60" s="2">
        <v>25900</v>
      </c>
      <c r="M60" s="1">
        <v>100</v>
      </c>
      <c r="N60" s="1">
        <v>0.9</v>
      </c>
      <c r="O60" s="1">
        <v>1.4</v>
      </c>
      <c r="P60" s="1">
        <v>200</v>
      </c>
      <c r="Q60" s="6">
        <v>0.6</v>
      </c>
      <c r="R60" s="2">
        <v>3.3</v>
      </c>
      <c r="S60" s="1" t="s">
        <v>16</v>
      </c>
      <c r="T60" s="1">
        <v>247</v>
      </c>
      <c r="U60" s="1">
        <v>325</v>
      </c>
      <c r="V60" s="4">
        <v>1550</v>
      </c>
      <c r="W60" s="2" t="s">
        <v>15</v>
      </c>
    </row>
    <row r="61" spans="1:23" ht="17" x14ac:dyDescent="0.2">
      <c r="A61" s="2" t="s">
        <v>15</v>
      </c>
      <c r="B61" s="1">
        <v>175</v>
      </c>
      <c r="C61" s="1">
        <v>75</v>
      </c>
      <c r="D61" s="1">
        <v>13</v>
      </c>
      <c r="E61" s="1" t="s">
        <v>16</v>
      </c>
      <c r="F61" s="8">
        <v>4331</v>
      </c>
      <c r="G61" s="6">
        <v>584</v>
      </c>
      <c r="H61" s="1">
        <v>625</v>
      </c>
      <c r="I61" s="5">
        <v>4276.1000000000004</v>
      </c>
      <c r="J61" s="5">
        <v>4376.1000000000004</v>
      </c>
      <c r="K61" s="1">
        <v>125</v>
      </c>
      <c r="L61" s="2">
        <v>26000</v>
      </c>
      <c r="M61" s="4">
        <v>2450</v>
      </c>
      <c r="N61" s="1">
        <v>1.05</v>
      </c>
      <c r="O61" s="1">
        <v>1.25</v>
      </c>
      <c r="P61" s="1">
        <v>75</v>
      </c>
      <c r="Q61" s="7">
        <v>-1.75</v>
      </c>
      <c r="R61" s="2">
        <v>1.25</v>
      </c>
      <c r="S61" s="1" t="s">
        <v>16</v>
      </c>
      <c r="T61" s="4">
        <v>13800</v>
      </c>
      <c r="U61" s="4">
        <v>63725</v>
      </c>
      <c r="V61" s="4">
        <v>145375</v>
      </c>
      <c r="W61" s="2" t="s">
        <v>15</v>
      </c>
    </row>
    <row r="62" spans="1:23" ht="17" x14ac:dyDescent="0.2">
      <c r="A62" s="2" t="s">
        <v>15</v>
      </c>
      <c r="B62" s="1" t="s">
        <v>16</v>
      </c>
      <c r="C62" s="1" t="s">
        <v>16</v>
      </c>
      <c r="D62" s="1" t="s">
        <v>16</v>
      </c>
      <c r="E62" s="1" t="s">
        <v>16</v>
      </c>
      <c r="F62" s="1" t="s">
        <v>16</v>
      </c>
      <c r="G62" s="3" t="s">
        <v>16</v>
      </c>
      <c r="H62" s="1">
        <v>625</v>
      </c>
      <c r="I62" s="5">
        <v>3904.8</v>
      </c>
      <c r="J62" s="5">
        <v>4493.6499999999996</v>
      </c>
      <c r="K62" s="1">
        <v>625</v>
      </c>
      <c r="L62" s="2">
        <v>26100</v>
      </c>
      <c r="M62" s="1">
        <v>50</v>
      </c>
      <c r="N62" s="1">
        <v>1.05</v>
      </c>
      <c r="O62" s="1">
        <v>1.6</v>
      </c>
      <c r="P62" s="1">
        <v>25</v>
      </c>
      <c r="Q62" s="7">
        <v>-0.95</v>
      </c>
      <c r="R62" s="2">
        <v>1.75</v>
      </c>
      <c r="S62" s="1" t="s">
        <v>16</v>
      </c>
      <c r="T62" s="1">
        <v>835</v>
      </c>
      <c r="U62" s="4">
        <v>1250</v>
      </c>
      <c r="V62" s="4">
        <v>5750</v>
      </c>
      <c r="W62" s="2" t="s">
        <v>15</v>
      </c>
    </row>
    <row r="63" spans="1:23" ht="17" x14ac:dyDescent="0.2">
      <c r="A63" s="2" t="s">
        <v>15</v>
      </c>
      <c r="B63" s="1" t="s">
        <v>16</v>
      </c>
      <c r="C63" s="1" t="s">
        <v>16</v>
      </c>
      <c r="D63" s="1" t="s">
        <v>16</v>
      </c>
      <c r="E63" s="1" t="s">
        <v>16</v>
      </c>
      <c r="F63" s="1" t="s">
        <v>16</v>
      </c>
      <c r="G63" s="3" t="s">
        <v>16</v>
      </c>
      <c r="H63" s="1">
        <v>625</v>
      </c>
      <c r="I63" s="5">
        <v>3895.35</v>
      </c>
      <c r="J63" s="5">
        <v>4384.7</v>
      </c>
      <c r="K63" s="1">
        <v>625</v>
      </c>
      <c r="L63" s="2">
        <v>26200</v>
      </c>
      <c r="M63" s="4">
        <v>1200</v>
      </c>
      <c r="N63" s="1">
        <v>0.85</v>
      </c>
      <c r="O63" s="1">
        <v>1.5</v>
      </c>
      <c r="P63" s="1">
        <v>200</v>
      </c>
      <c r="Q63" s="7">
        <v>-2.2000000000000002</v>
      </c>
      <c r="R63" s="2">
        <v>1.05</v>
      </c>
      <c r="S63" s="1" t="s">
        <v>16</v>
      </c>
      <c r="T63" s="1">
        <v>309</v>
      </c>
      <c r="U63" s="1">
        <v>450</v>
      </c>
      <c r="V63" s="4">
        <v>6150</v>
      </c>
      <c r="W63" s="2" t="s">
        <v>15</v>
      </c>
    </row>
    <row r="64" spans="1:23" ht="17" x14ac:dyDescent="0.2">
      <c r="A64" s="2" t="s">
        <v>15</v>
      </c>
      <c r="B64" s="1">
        <v>25</v>
      </c>
      <c r="C64" s="1" t="s">
        <v>16</v>
      </c>
      <c r="D64" s="1" t="s">
        <v>16</v>
      </c>
      <c r="E64" s="1" t="s">
        <v>16</v>
      </c>
      <c r="F64" s="1" t="s">
        <v>16</v>
      </c>
      <c r="G64" s="3" t="s">
        <v>16</v>
      </c>
      <c r="H64" s="1">
        <v>625</v>
      </c>
      <c r="I64" s="5">
        <v>3911.15</v>
      </c>
      <c r="J64" s="5">
        <v>4158.75</v>
      </c>
      <c r="K64" s="1">
        <v>625</v>
      </c>
      <c r="L64" s="2">
        <v>26300</v>
      </c>
      <c r="M64" s="1">
        <v>25</v>
      </c>
      <c r="N64" s="1">
        <v>1.2</v>
      </c>
      <c r="O64" s="1">
        <v>1.45</v>
      </c>
      <c r="P64" s="1">
        <v>25</v>
      </c>
      <c r="Q64" s="7">
        <v>-1.7</v>
      </c>
      <c r="R64" s="2">
        <v>1.2</v>
      </c>
      <c r="S64" s="1" t="s">
        <v>16</v>
      </c>
      <c r="T64" s="1">
        <v>253</v>
      </c>
      <c r="U64" s="4">
        <v>-1150</v>
      </c>
      <c r="V64" s="4">
        <v>2950</v>
      </c>
      <c r="W64" s="2" t="s">
        <v>15</v>
      </c>
    </row>
    <row r="65" spans="1:23" ht="17" x14ac:dyDescent="0.2">
      <c r="A65" s="2" t="s">
        <v>15</v>
      </c>
      <c r="B65" s="1" t="s">
        <v>16</v>
      </c>
      <c r="C65" s="1" t="s">
        <v>16</v>
      </c>
      <c r="D65" s="1" t="s">
        <v>16</v>
      </c>
      <c r="E65" s="1" t="s">
        <v>16</v>
      </c>
      <c r="F65" s="1" t="s">
        <v>16</v>
      </c>
      <c r="G65" s="3" t="s">
        <v>16</v>
      </c>
      <c r="H65" s="1">
        <v>625</v>
      </c>
      <c r="I65" s="5">
        <v>3805.8</v>
      </c>
      <c r="J65" s="5">
        <v>4052.85</v>
      </c>
      <c r="K65" s="1">
        <v>625</v>
      </c>
      <c r="L65" s="2">
        <v>26400</v>
      </c>
      <c r="M65" s="1">
        <v>75</v>
      </c>
      <c r="N65" s="1">
        <v>1.25</v>
      </c>
      <c r="O65" s="1">
        <v>1.4</v>
      </c>
      <c r="P65" s="1">
        <v>25</v>
      </c>
      <c r="Q65" s="7">
        <v>-1.1499999999999999</v>
      </c>
      <c r="R65" s="2">
        <v>1.25</v>
      </c>
      <c r="S65" s="1" t="s">
        <v>16</v>
      </c>
      <c r="T65" s="1">
        <v>531</v>
      </c>
      <c r="U65" s="1">
        <v>-875</v>
      </c>
      <c r="V65" s="4">
        <v>7750</v>
      </c>
      <c r="W65" s="2" t="s">
        <v>15</v>
      </c>
    </row>
    <row r="66" spans="1:23" ht="17" x14ac:dyDescent="0.2">
      <c r="A66" s="2" t="s">
        <v>15</v>
      </c>
      <c r="B66" s="1">
        <v>50</v>
      </c>
      <c r="C66" s="1">
        <v>25</v>
      </c>
      <c r="D66" s="1">
        <v>84</v>
      </c>
      <c r="E66" s="1" t="s">
        <v>16</v>
      </c>
      <c r="F66" s="8">
        <v>3851.55</v>
      </c>
      <c r="G66" s="6">
        <v>639.20000000000005</v>
      </c>
      <c r="H66" s="1">
        <v>625</v>
      </c>
      <c r="I66" s="5">
        <v>3767.55</v>
      </c>
      <c r="J66" s="5">
        <v>3825.85</v>
      </c>
      <c r="K66" s="1">
        <v>125</v>
      </c>
      <c r="L66" s="2">
        <v>26500</v>
      </c>
      <c r="M66" s="1">
        <v>400</v>
      </c>
      <c r="N66" s="1">
        <v>1.1000000000000001</v>
      </c>
      <c r="O66" s="1">
        <v>1.3</v>
      </c>
      <c r="P66" s="1">
        <v>200</v>
      </c>
      <c r="Q66" s="7">
        <v>-1.95</v>
      </c>
      <c r="R66" s="2">
        <v>1.1000000000000001</v>
      </c>
      <c r="S66" s="1" t="s">
        <v>16</v>
      </c>
      <c r="T66" s="4">
        <v>12408</v>
      </c>
      <c r="U66" s="4">
        <v>-2575</v>
      </c>
      <c r="V66" s="4">
        <v>91000</v>
      </c>
      <c r="W66" s="2" t="s">
        <v>15</v>
      </c>
    </row>
    <row r="67" spans="1:23" ht="17" x14ac:dyDescent="0.2">
      <c r="A67" s="2" t="s">
        <v>15</v>
      </c>
      <c r="B67" s="1" t="s">
        <v>16</v>
      </c>
      <c r="C67" s="1" t="s">
        <v>16</v>
      </c>
      <c r="D67" s="1" t="s">
        <v>16</v>
      </c>
      <c r="E67" s="1" t="s">
        <v>16</v>
      </c>
      <c r="F67" s="1" t="s">
        <v>16</v>
      </c>
      <c r="G67" s="3" t="s">
        <v>16</v>
      </c>
      <c r="H67" s="1">
        <v>625</v>
      </c>
      <c r="I67" s="5">
        <v>3602.05</v>
      </c>
      <c r="J67" s="5">
        <v>3845.2</v>
      </c>
      <c r="K67" s="1">
        <v>625</v>
      </c>
      <c r="L67" s="2">
        <v>26600</v>
      </c>
      <c r="M67" s="1">
        <v>750</v>
      </c>
      <c r="N67" s="1">
        <v>0.95</v>
      </c>
      <c r="O67" s="1">
        <v>1.5</v>
      </c>
      <c r="P67" s="1">
        <v>225</v>
      </c>
      <c r="Q67" s="7">
        <v>-2.1</v>
      </c>
      <c r="R67" s="2">
        <v>1.1499999999999999</v>
      </c>
      <c r="S67" s="1" t="s">
        <v>16</v>
      </c>
      <c r="T67" s="1">
        <v>364</v>
      </c>
      <c r="U67" s="4">
        <v>1925</v>
      </c>
      <c r="V67" s="4">
        <v>5625</v>
      </c>
      <c r="W67" s="2" t="s">
        <v>15</v>
      </c>
    </row>
    <row r="68" spans="1:23" ht="17" x14ac:dyDescent="0.2">
      <c r="A68" s="2" t="s">
        <v>15</v>
      </c>
      <c r="B68" s="1" t="s">
        <v>16</v>
      </c>
      <c r="C68" s="1" t="s">
        <v>16</v>
      </c>
      <c r="D68" s="1" t="s">
        <v>16</v>
      </c>
      <c r="E68" s="1" t="s">
        <v>16</v>
      </c>
      <c r="F68" s="1" t="s">
        <v>16</v>
      </c>
      <c r="G68" s="3" t="s">
        <v>16</v>
      </c>
      <c r="H68" s="1">
        <v>625</v>
      </c>
      <c r="I68" s="5">
        <v>3499.15</v>
      </c>
      <c r="J68" s="5">
        <v>3739.2</v>
      </c>
      <c r="K68" s="1">
        <v>625</v>
      </c>
      <c r="L68" s="2">
        <v>26700</v>
      </c>
      <c r="M68" s="1">
        <v>250</v>
      </c>
      <c r="N68" s="1">
        <v>1.25</v>
      </c>
      <c r="O68" s="1">
        <v>1.95</v>
      </c>
      <c r="P68" s="1">
        <v>600</v>
      </c>
      <c r="Q68" s="7">
        <v>-1.85</v>
      </c>
      <c r="R68" s="2">
        <v>1.25</v>
      </c>
      <c r="S68" s="1" t="s">
        <v>16</v>
      </c>
      <c r="T68" s="1">
        <v>453</v>
      </c>
      <c r="U68" s="4">
        <v>2800</v>
      </c>
      <c r="V68" s="4">
        <v>8625</v>
      </c>
      <c r="W68" s="2" t="s">
        <v>15</v>
      </c>
    </row>
    <row r="69" spans="1:23" ht="17" x14ac:dyDescent="0.2">
      <c r="A69" s="2" t="s">
        <v>15</v>
      </c>
      <c r="B69" s="1">
        <v>50</v>
      </c>
      <c r="C69" s="1" t="s">
        <v>16</v>
      </c>
      <c r="D69" s="1" t="s">
        <v>16</v>
      </c>
      <c r="E69" s="1" t="s">
        <v>16</v>
      </c>
      <c r="F69" s="1" t="s">
        <v>16</v>
      </c>
      <c r="G69" s="3" t="s">
        <v>16</v>
      </c>
      <c r="H69" s="1">
        <v>625</v>
      </c>
      <c r="I69" s="5">
        <v>3397.75</v>
      </c>
      <c r="J69" s="5">
        <v>3634.45</v>
      </c>
      <c r="K69" s="1">
        <v>625</v>
      </c>
      <c r="L69" s="2">
        <v>26800</v>
      </c>
      <c r="M69" s="1">
        <v>50</v>
      </c>
      <c r="N69" s="1">
        <v>1.25</v>
      </c>
      <c r="O69" s="1">
        <v>1.7</v>
      </c>
      <c r="P69" s="1">
        <v>200</v>
      </c>
      <c r="Q69" s="7">
        <v>-1.2</v>
      </c>
      <c r="R69" s="2">
        <v>1.85</v>
      </c>
      <c r="S69" s="1" t="s">
        <v>16</v>
      </c>
      <c r="T69" s="4">
        <v>1515</v>
      </c>
      <c r="U69" s="4">
        <v>12350</v>
      </c>
      <c r="V69" s="4">
        <v>21475</v>
      </c>
      <c r="W69" s="2" t="s">
        <v>15</v>
      </c>
    </row>
    <row r="70" spans="1:23" ht="17" x14ac:dyDescent="0.2">
      <c r="A70" s="2" t="s">
        <v>15</v>
      </c>
      <c r="B70" s="1" t="s">
        <v>16</v>
      </c>
      <c r="C70" s="1" t="s">
        <v>16</v>
      </c>
      <c r="D70" s="1" t="s">
        <v>16</v>
      </c>
      <c r="E70" s="1" t="s">
        <v>16</v>
      </c>
      <c r="F70" s="1" t="s">
        <v>16</v>
      </c>
      <c r="G70" s="3" t="s">
        <v>16</v>
      </c>
      <c r="H70" s="1">
        <v>625</v>
      </c>
      <c r="I70" s="5">
        <v>3300.05</v>
      </c>
      <c r="J70" s="5">
        <v>3534.35</v>
      </c>
      <c r="K70" s="1">
        <v>625</v>
      </c>
      <c r="L70" s="2">
        <v>26900</v>
      </c>
      <c r="M70" s="1">
        <v>125</v>
      </c>
      <c r="N70" s="1">
        <v>1.4</v>
      </c>
      <c r="O70" s="1">
        <v>1.55</v>
      </c>
      <c r="P70" s="1">
        <v>225</v>
      </c>
      <c r="Q70" s="7">
        <v>-1.85</v>
      </c>
      <c r="R70" s="2">
        <v>1.45</v>
      </c>
      <c r="S70" s="1" t="s">
        <v>16</v>
      </c>
      <c r="T70" s="4">
        <v>1560</v>
      </c>
      <c r="U70" s="4">
        <v>7400</v>
      </c>
      <c r="V70" s="4">
        <v>14950</v>
      </c>
      <c r="W70" s="2" t="s">
        <v>15</v>
      </c>
    </row>
    <row r="71" spans="1:23" ht="17" x14ac:dyDescent="0.2">
      <c r="A71" s="2" t="s">
        <v>15</v>
      </c>
      <c r="B71" s="4">
        <v>1325</v>
      </c>
      <c r="C71" s="1">
        <v>-25</v>
      </c>
      <c r="D71" s="1">
        <v>6</v>
      </c>
      <c r="E71" s="1" t="s">
        <v>16</v>
      </c>
      <c r="F71" s="8">
        <v>3290</v>
      </c>
      <c r="G71" s="6">
        <v>653.20000000000005</v>
      </c>
      <c r="H71" s="1">
        <v>625</v>
      </c>
      <c r="I71" s="5">
        <v>3250.55</v>
      </c>
      <c r="J71" s="5">
        <v>3330.1</v>
      </c>
      <c r="K71" s="1">
        <v>125</v>
      </c>
      <c r="L71" s="2">
        <v>27000</v>
      </c>
      <c r="M71" s="4">
        <v>1925</v>
      </c>
      <c r="N71" s="1">
        <v>1.45</v>
      </c>
      <c r="O71" s="1">
        <v>1.5</v>
      </c>
      <c r="P71" s="4">
        <v>2000</v>
      </c>
      <c r="Q71" s="7">
        <v>-1.9</v>
      </c>
      <c r="R71" s="2">
        <v>1.45</v>
      </c>
      <c r="S71" s="1" t="s">
        <v>16</v>
      </c>
      <c r="T71" s="4">
        <v>45667</v>
      </c>
      <c r="U71" s="4">
        <v>84750</v>
      </c>
      <c r="V71" s="4">
        <v>366900</v>
      </c>
      <c r="W71" s="2" t="s">
        <v>15</v>
      </c>
    </row>
    <row r="72" spans="1:23" ht="17" x14ac:dyDescent="0.2">
      <c r="A72" s="2" t="s">
        <v>15</v>
      </c>
      <c r="B72" s="1">
        <v>25</v>
      </c>
      <c r="C72" s="1" t="s">
        <v>16</v>
      </c>
      <c r="D72" s="1">
        <v>8</v>
      </c>
      <c r="E72" s="1" t="s">
        <v>16</v>
      </c>
      <c r="F72" s="8">
        <v>3024.65</v>
      </c>
      <c r="G72" s="6">
        <v>576</v>
      </c>
      <c r="H72" s="1">
        <v>625</v>
      </c>
      <c r="I72" s="5">
        <v>3112.25</v>
      </c>
      <c r="J72" s="5">
        <v>3335.15</v>
      </c>
      <c r="K72" s="1">
        <v>200</v>
      </c>
      <c r="L72" s="2">
        <v>27100</v>
      </c>
      <c r="M72" s="1">
        <v>125</v>
      </c>
      <c r="N72" s="1">
        <v>1.35</v>
      </c>
      <c r="O72" s="1">
        <v>1.7</v>
      </c>
      <c r="P72" s="1">
        <v>125</v>
      </c>
      <c r="Q72" s="7">
        <v>-2.2000000000000002</v>
      </c>
      <c r="R72" s="2">
        <v>1.5</v>
      </c>
      <c r="S72" s="1" t="s">
        <v>16</v>
      </c>
      <c r="T72" s="4">
        <v>1695</v>
      </c>
      <c r="U72" s="4">
        <v>-2875</v>
      </c>
      <c r="V72" s="4">
        <v>12875</v>
      </c>
      <c r="W72" s="2" t="s">
        <v>15</v>
      </c>
    </row>
    <row r="73" spans="1:23" ht="17" x14ac:dyDescent="0.2">
      <c r="A73" s="2" t="s">
        <v>15</v>
      </c>
      <c r="B73" s="1">
        <v>25</v>
      </c>
      <c r="C73" s="1" t="s">
        <v>16</v>
      </c>
      <c r="D73" s="1" t="s">
        <v>16</v>
      </c>
      <c r="E73" s="1" t="s">
        <v>16</v>
      </c>
      <c r="F73" s="1" t="s">
        <v>16</v>
      </c>
      <c r="G73" s="3" t="s">
        <v>16</v>
      </c>
      <c r="H73" s="1">
        <v>625</v>
      </c>
      <c r="I73" s="5">
        <v>3007.85</v>
      </c>
      <c r="J73" s="5">
        <v>3235.2</v>
      </c>
      <c r="K73" s="1">
        <v>625</v>
      </c>
      <c r="L73" s="2">
        <v>27200</v>
      </c>
      <c r="M73" s="1">
        <v>200</v>
      </c>
      <c r="N73" s="1">
        <v>1.25</v>
      </c>
      <c r="O73" s="1">
        <v>1.8</v>
      </c>
      <c r="P73" s="1">
        <v>250</v>
      </c>
      <c r="Q73" s="7">
        <v>-2.4500000000000002</v>
      </c>
      <c r="R73" s="2">
        <v>1.4</v>
      </c>
      <c r="S73" s="1" t="s">
        <v>16</v>
      </c>
      <c r="T73" s="4">
        <v>1040</v>
      </c>
      <c r="U73" s="1">
        <v>775</v>
      </c>
      <c r="V73" s="4">
        <v>15000</v>
      </c>
      <c r="W73" s="2" t="s">
        <v>15</v>
      </c>
    </row>
    <row r="74" spans="1:23" ht="17" x14ac:dyDescent="0.2">
      <c r="A74" s="2" t="s">
        <v>15</v>
      </c>
      <c r="B74" s="1" t="s">
        <v>16</v>
      </c>
      <c r="C74" s="1" t="s">
        <v>16</v>
      </c>
      <c r="D74" s="1" t="s">
        <v>16</v>
      </c>
      <c r="E74" s="1" t="s">
        <v>16</v>
      </c>
      <c r="F74" s="1" t="s">
        <v>16</v>
      </c>
      <c r="G74" s="3" t="s">
        <v>16</v>
      </c>
      <c r="H74" s="1">
        <v>625</v>
      </c>
      <c r="I74" s="5">
        <v>2913.4</v>
      </c>
      <c r="J74" s="5">
        <v>3135.35</v>
      </c>
      <c r="K74" s="1">
        <v>625</v>
      </c>
      <c r="L74" s="2">
        <v>27300</v>
      </c>
      <c r="M74" s="1">
        <v>375</v>
      </c>
      <c r="N74" s="1">
        <v>1.2</v>
      </c>
      <c r="O74" s="1">
        <v>1.95</v>
      </c>
      <c r="P74" s="4">
        <v>1050</v>
      </c>
      <c r="Q74" s="7">
        <v>-2.8</v>
      </c>
      <c r="R74" s="2">
        <v>1.7</v>
      </c>
      <c r="S74" s="1" t="s">
        <v>16</v>
      </c>
      <c r="T74" s="4">
        <v>1005</v>
      </c>
      <c r="U74" s="1">
        <v>750</v>
      </c>
      <c r="V74" s="4">
        <v>21350</v>
      </c>
      <c r="W74" s="2" t="s">
        <v>15</v>
      </c>
    </row>
    <row r="75" spans="1:23" ht="17" x14ac:dyDescent="0.2">
      <c r="A75" s="2" t="s">
        <v>15</v>
      </c>
      <c r="B75" s="1">
        <v>50</v>
      </c>
      <c r="C75" s="1" t="s">
        <v>16</v>
      </c>
      <c r="D75" s="1">
        <v>8</v>
      </c>
      <c r="E75" s="1" t="s">
        <v>16</v>
      </c>
      <c r="F75" s="8">
        <v>2732.9</v>
      </c>
      <c r="G75" s="6">
        <v>408.1</v>
      </c>
      <c r="H75" s="1">
        <v>625</v>
      </c>
      <c r="I75" s="5">
        <v>2811</v>
      </c>
      <c r="J75" s="5">
        <v>3039.1</v>
      </c>
      <c r="K75" s="1">
        <v>200</v>
      </c>
      <c r="L75" s="2">
        <v>27400</v>
      </c>
      <c r="M75" s="1">
        <v>650</v>
      </c>
      <c r="N75" s="1">
        <v>1.3</v>
      </c>
      <c r="O75" s="1">
        <v>1.95</v>
      </c>
      <c r="P75" s="1">
        <v>300</v>
      </c>
      <c r="Q75" s="7">
        <v>-3.05</v>
      </c>
      <c r="R75" s="2">
        <v>1.25</v>
      </c>
      <c r="S75" s="1" t="s">
        <v>16</v>
      </c>
      <c r="T75" s="4">
        <v>1598</v>
      </c>
      <c r="U75" s="4">
        <v>7025</v>
      </c>
      <c r="V75" s="4">
        <v>20550</v>
      </c>
      <c r="W75" s="2" t="s">
        <v>15</v>
      </c>
    </row>
    <row r="76" spans="1:23" ht="17" x14ac:dyDescent="0.2">
      <c r="A76" s="2" t="s">
        <v>15</v>
      </c>
      <c r="B76" s="4">
        <v>15950</v>
      </c>
      <c r="C76" s="4">
        <v>15625</v>
      </c>
      <c r="D76" s="1">
        <v>658</v>
      </c>
      <c r="E76" s="1" t="s">
        <v>16</v>
      </c>
      <c r="F76" s="8">
        <v>2800</v>
      </c>
      <c r="G76" s="6">
        <v>477.3</v>
      </c>
      <c r="H76" s="1">
        <v>25</v>
      </c>
      <c r="I76" s="5">
        <v>2777.55</v>
      </c>
      <c r="J76" s="5">
        <v>2828.15</v>
      </c>
      <c r="K76" s="1">
        <v>125</v>
      </c>
      <c r="L76" s="2">
        <v>27500</v>
      </c>
      <c r="M76" s="4">
        <v>2150</v>
      </c>
      <c r="N76" s="1">
        <v>1.75</v>
      </c>
      <c r="O76" s="1">
        <v>1.8</v>
      </c>
      <c r="P76" s="1">
        <v>150</v>
      </c>
      <c r="Q76" s="7">
        <v>-2.75</v>
      </c>
      <c r="R76" s="2">
        <v>1.85</v>
      </c>
      <c r="S76" s="1" t="s">
        <v>16</v>
      </c>
      <c r="T76" s="4">
        <v>58598</v>
      </c>
      <c r="U76" s="4">
        <v>211675</v>
      </c>
      <c r="V76" s="4">
        <v>507125</v>
      </c>
      <c r="W76" s="2" t="s">
        <v>15</v>
      </c>
    </row>
    <row r="77" spans="1:23" ht="17" x14ac:dyDescent="0.2">
      <c r="A77" s="2" t="s">
        <v>15</v>
      </c>
      <c r="B77" s="1">
        <v>50</v>
      </c>
      <c r="C77" s="1" t="s">
        <v>16</v>
      </c>
      <c r="D77" s="1" t="s">
        <v>16</v>
      </c>
      <c r="E77" s="1" t="s">
        <v>16</v>
      </c>
      <c r="F77" s="1" t="s">
        <v>16</v>
      </c>
      <c r="G77" s="3" t="s">
        <v>16</v>
      </c>
      <c r="H77" s="1">
        <v>625</v>
      </c>
      <c r="I77" s="5">
        <v>2613</v>
      </c>
      <c r="J77" s="5">
        <v>2835.2</v>
      </c>
      <c r="K77" s="1">
        <v>625</v>
      </c>
      <c r="L77" s="2">
        <v>27600</v>
      </c>
      <c r="M77" s="1">
        <v>50</v>
      </c>
      <c r="N77" s="1">
        <v>1.75</v>
      </c>
      <c r="O77" s="1">
        <v>1.8</v>
      </c>
      <c r="P77" s="1">
        <v>600</v>
      </c>
      <c r="Q77" s="7">
        <v>-3</v>
      </c>
      <c r="R77" s="2">
        <v>1.85</v>
      </c>
      <c r="S77" s="1" t="s">
        <v>16</v>
      </c>
      <c r="T77" s="4">
        <v>3909</v>
      </c>
      <c r="U77" s="4">
        <v>1325</v>
      </c>
      <c r="V77" s="4">
        <v>19100</v>
      </c>
      <c r="W77" s="2" t="s">
        <v>15</v>
      </c>
    </row>
    <row r="78" spans="1:23" ht="17" x14ac:dyDescent="0.2">
      <c r="A78" s="2" t="s">
        <v>15</v>
      </c>
      <c r="B78" s="1">
        <v>325</v>
      </c>
      <c r="C78" s="1" t="s">
        <v>16</v>
      </c>
      <c r="D78" s="1" t="s">
        <v>16</v>
      </c>
      <c r="E78" s="1" t="s">
        <v>16</v>
      </c>
      <c r="F78" s="1" t="s">
        <v>16</v>
      </c>
      <c r="G78" s="3" t="s">
        <v>16</v>
      </c>
      <c r="H78" s="1">
        <v>625</v>
      </c>
      <c r="I78" s="5">
        <v>2513.1999999999998</v>
      </c>
      <c r="J78" s="5">
        <v>2735.45</v>
      </c>
      <c r="K78" s="1">
        <v>625</v>
      </c>
      <c r="L78" s="2">
        <v>27700</v>
      </c>
      <c r="M78" s="1">
        <v>150</v>
      </c>
      <c r="N78" s="1">
        <v>1.8</v>
      </c>
      <c r="O78" s="1">
        <v>2.0499999999999998</v>
      </c>
      <c r="P78" s="1">
        <v>150</v>
      </c>
      <c r="Q78" s="7">
        <v>-3.4</v>
      </c>
      <c r="R78" s="2">
        <v>1.7</v>
      </c>
      <c r="S78" s="1" t="s">
        <v>16</v>
      </c>
      <c r="T78" s="4">
        <v>4330</v>
      </c>
      <c r="U78" s="4">
        <v>3875</v>
      </c>
      <c r="V78" s="4">
        <v>51325</v>
      </c>
      <c r="W78" s="2" t="s">
        <v>15</v>
      </c>
    </row>
    <row r="79" spans="1:23" ht="17" x14ac:dyDescent="0.2">
      <c r="A79" s="2" t="s">
        <v>15</v>
      </c>
      <c r="B79" s="1">
        <v>50</v>
      </c>
      <c r="C79" s="1" t="s">
        <v>16</v>
      </c>
      <c r="D79" s="1" t="s">
        <v>16</v>
      </c>
      <c r="E79" s="1" t="s">
        <v>16</v>
      </c>
      <c r="F79" s="1" t="s">
        <v>16</v>
      </c>
      <c r="G79" s="3" t="s">
        <v>16</v>
      </c>
      <c r="H79" s="1">
        <v>625</v>
      </c>
      <c r="I79" s="5">
        <v>2412.9</v>
      </c>
      <c r="J79" s="5">
        <v>2612.9</v>
      </c>
      <c r="K79" s="1">
        <v>625</v>
      </c>
      <c r="L79" s="2">
        <v>27800</v>
      </c>
      <c r="M79" s="1">
        <v>25</v>
      </c>
      <c r="N79" s="1">
        <v>1.95</v>
      </c>
      <c r="O79" s="1">
        <v>2.2000000000000002</v>
      </c>
      <c r="P79" s="1">
        <v>550</v>
      </c>
      <c r="Q79" s="7">
        <v>-3.4</v>
      </c>
      <c r="R79" s="2">
        <v>2.1</v>
      </c>
      <c r="S79" s="1" t="s">
        <v>16</v>
      </c>
      <c r="T79" s="4">
        <v>8665</v>
      </c>
      <c r="U79" s="4">
        <v>7775</v>
      </c>
      <c r="V79" s="4">
        <v>34675</v>
      </c>
      <c r="W79" s="2" t="s">
        <v>15</v>
      </c>
    </row>
    <row r="80" spans="1:23" ht="17" x14ac:dyDescent="0.2">
      <c r="A80" s="2" t="s">
        <v>15</v>
      </c>
      <c r="B80" s="1">
        <v>100</v>
      </c>
      <c r="C80" s="1" t="s">
        <v>16</v>
      </c>
      <c r="D80" s="1" t="s">
        <v>16</v>
      </c>
      <c r="E80" s="1" t="s">
        <v>16</v>
      </c>
      <c r="F80" s="1" t="s">
        <v>16</v>
      </c>
      <c r="G80" s="3" t="s">
        <v>16</v>
      </c>
      <c r="H80" s="1">
        <v>625</v>
      </c>
      <c r="I80" s="5">
        <v>2310.8000000000002</v>
      </c>
      <c r="J80" s="5">
        <v>2513.75</v>
      </c>
      <c r="K80" s="1">
        <v>625</v>
      </c>
      <c r="L80" s="2">
        <v>27900</v>
      </c>
      <c r="M80" s="1">
        <v>25</v>
      </c>
      <c r="N80" s="1">
        <v>1.9</v>
      </c>
      <c r="O80" s="1">
        <v>2.2000000000000002</v>
      </c>
      <c r="P80" s="1">
        <v>250</v>
      </c>
      <c r="Q80" s="7">
        <v>-3.5</v>
      </c>
      <c r="R80" s="2">
        <v>2.25</v>
      </c>
      <c r="S80" s="1" t="s">
        <v>16</v>
      </c>
      <c r="T80" s="4">
        <v>11612</v>
      </c>
      <c r="U80" s="4">
        <v>7475</v>
      </c>
      <c r="V80" s="4">
        <v>37200</v>
      </c>
      <c r="W80" s="2" t="s">
        <v>15</v>
      </c>
    </row>
    <row r="81" spans="1:23" ht="17" x14ac:dyDescent="0.2">
      <c r="A81" s="2" t="s">
        <v>15</v>
      </c>
      <c r="B81" s="4">
        <v>16025</v>
      </c>
      <c r="C81" s="4">
        <v>14325</v>
      </c>
      <c r="D81" s="1">
        <v>919</v>
      </c>
      <c r="E81" s="1" t="s">
        <v>16</v>
      </c>
      <c r="F81" s="8">
        <v>2320.25</v>
      </c>
      <c r="G81" s="6">
        <v>445.9</v>
      </c>
      <c r="H81" s="1">
        <v>25</v>
      </c>
      <c r="I81" s="5">
        <v>2307.65</v>
      </c>
      <c r="J81" s="5">
        <v>2324.4499999999998</v>
      </c>
      <c r="K81" s="1">
        <v>25</v>
      </c>
      <c r="L81" s="2">
        <v>28000</v>
      </c>
      <c r="M81" s="1">
        <v>300</v>
      </c>
      <c r="N81" s="1">
        <v>2.15</v>
      </c>
      <c r="O81" s="1">
        <v>2.2000000000000002</v>
      </c>
      <c r="P81" s="1">
        <v>475</v>
      </c>
      <c r="Q81" s="7">
        <v>-3.85</v>
      </c>
      <c r="R81" s="2">
        <v>2.2000000000000002</v>
      </c>
      <c r="S81" s="1" t="s">
        <v>16</v>
      </c>
      <c r="T81" s="4">
        <v>209844</v>
      </c>
      <c r="U81" s="4">
        <v>403125</v>
      </c>
      <c r="V81" s="4">
        <v>1207975</v>
      </c>
      <c r="W81" s="2" t="s">
        <v>15</v>
      </c>
    </row>
    <row r="82" spans="1:23" ht="17" x14ac:dyDescent="0.2">
      <c r="A82" s="2" t="s">
        <v>15</v>
      </c>
      <c r="B82" s="1">
        <v>175</v>
      </c>
      <c r="C82" s="1" t="s">
        <v>16</v>
      </c>
      <c r="D82" s="1" t="s">
        <v>16</v>
      </c>
      <c r="E82" s="1" t="s">
        <v>16</v>
      </c>
      <c r="F82" s="1" t="s">
        <v>16</v>
      </c>
      <c r="G82" s="3" t="s">
        <v>16</v>
      </c>
      <c r="H82" s="1">
        <v>625</v>
      </c>
      <c r="I82" s="5">
        <v>2114.0500000000002</v>
      </c>
      <c r="J82" s="5">
        <v>2286.65</v>
      </c>
      <c r="K82" s="1">
        <v>625</v>
      </c>
      <c r="L82" s="2">
        <v>28100</v>
      </c>
      <c r="M82" s="1">
        <v>200</v>
      </c>
      <c r="N82" s="1">
        <v>2.15</v>
      </c>
      <c r="O82" s="1">
        <v>2.2999999999999998</v>
      </c>
      <c r="P82" s="1">
        <v>200</v>
      </c>
      <c r="Q82" s="7">
        <v>-4.1500000000000004</v>
      </c>
      <c r="R82" s="2">
        <v>2.35</v>
      </c>
      <c r="S82" s="1" t="s">
        <v>16</v>
      </c>
      <c r="T82" s="4">
        <v>16766</v>
      </c>
      <c r="U82" s="4">
        <v>8200</v>
      </c>
      <c r="V82" s="4">
        <v>60925</v>
      </c>
      <c r="W82" s="2" t="s">
        <v>15</v>
      </c>
    </row>
    <row r="83" spans="1:23" ht="17" x14ac:dyDescent="0.2">
      <c r="A83" s="2" t="s">
        <v>15</v>
      </c>
      <c r="B83" s="1">
        <v>500</v>
      </c>
      <c r="C83" s="1" t="s">
        <v>16</v>
      </c>
      <c r="D83" s="1" t="s">
        <v>16</v>
      </c>
      <c r="E83" s="1" t="s">
        <v>16</v>
      </c>
      <c r="F83" s="1" t="s">
        <v>16</v>
      </c>
      <c r="G83" s="3" t="s">
        <v>16</v>
      </c>
      <c r="H83" s="1">
        <v>625</v>
      </c>
      <c r="I83" s="5">
        <v>2016.65</v>
      </c>
      <c r="J83" s="5">
        <v>2185.9</v>
      </c>
      <c r="K83" s="1">
        <v>625</v>
      </c>
      <c r="L83" s="2">
        <v>28200</v>
      </c>
      <c r="M83" s="1">
        <v>400</v>
      </c>
      <c r="N83" s="1">
        <v>2.2999999999999998</v>
      </c>
      <c r="O83" s="1">
        <v>2.4500000000000002</v>
      </c>
      <c r="P83" s="1">
        <v>200</v>
      </c>
      <c r="Q83" s="7">
        <v>-4.1500000000000004</v>
      </c>
      <c r="R83" s="2">
        <v>2.6</v>
      </c>
      <c r="S83" s="1" t="s">
        <v>16</v>
      </c>
      <c r="T83" s="4">
        <v>19791</v>
      </c>
      <c r="U83" s="1">
        <v>-400</v>
      </c>
      <c r="V83" s="4">
        <v>52100</v>
      </c>
      <c r="W83" s="2" t="s">
        <v>15</v>
      </c>
    </row>
    <row r="84" spans="1:23" ht="17" x14ac:dyDescent="0.2">
      <c r="A84" s="2" t="s">
        <v>15</v>
      </c>
      <c r="B84" s="1">
        <v>625</v>
      </c>
      <c r="C84" s="1" t="s">
        <v>16</v>
      </c>
      <c r="D84" s="1" t="s">
        <v>16</v>
      </c>
      <c r="E84" s="1" t="s">
        <v>16</v>
      </c>
      <c r="F84" s="1" t="s">
        <v>16</v>
      </c>
      <c r="G84" s="3" t="s">
        <v>16</v>
      </c>
      <c r="H84" s="1">
        <v>625</v>
      </c>
      <c r="I84" s="5">
        <v>1916.85</v>
      </c>
      <c r="J84" s="5">
        <v>2055.4</v>
      </c>
      <c r="K84" s="1">
        <v>50</v>
      </c>
      <c r="L84" s="2">
        <v>28300</v>
      </c>
      <c r="M84" s="1">
        <v>350</v>
      </c>
      <c r="N84" s="1">
        <v>2.15</v>
      </c>
      <c r="O84" s="1">
        <v>2.5499999999999998</v>
      </c>
      <c r="P84" s="1">
        <v>50</v>
      </c>
      <c r="Q84" s="7">
        <v>-4.95</v>
      </c>
      <c r="R84" s="2">
        <v>2.4</v>
      </c>
      <c r="S84" s="1" t="s">
        <v>16</v>
      </c>
      <c r="T84" s="4">
        <v>21522</v>
      </c>
      <c r="U84" s="4">
        <v>10425</v>
      </c>
      <c r="V84" s="4">
        <v>70000</v>
      </c>
      <c r="W84" s="2" t="s">
        <v>15</v>
      </c>
    </row>
    <row r="85" spans="1:23" ht="17" x14ac:dyDescent="0.2">
      <c r="A85" s="2" t="s">
        <v>15</v>
      </c>
      <c r="B85" s="1">
        <v>200</v>
      </c>
      <c r="C85" s="1" t="s">
        <v>16</v>
      </c>
      <c r="D85" s="1" t="s">
        <v>16</v>
      </c>
      <c r="E85" s="1" t="s">
        <v>16</v>
      </c>
      <c r="F85" s="1" t="s">
        <v>16</v>
      </c>
      <c r="G85" s="3" t="s">
        <v>16</v>
      </c>
      <c r="H85" s="1">
        <v>625</v>
      </c>
      <c r="I85" s="5">
        <v>1801.55</v>
      </c>
      <c r="J85" s="5">
        <v>1982.1</v>
      </c>
      <c r="K85" s="1">
        <v>50</v>
      </c>
      <c r="L85" s="2">
        <v>28400</v>
      </c>
      <c r="M85" s="1">
        <v>400</v>
      </c>
      <c r="N85" s="1">
        <v>2.5</v>
      </c>
      <c r="O85" s="1">
        <v>2.6</v>
      </c>
      <c r="P85" s="1">
        <v>50</v>
      </c>
      <c r="Q85" s="7">
        <v>-5.15</v>
      </c>
      <c r="R85" s="2">
        <v>2.5499999999999998</v>
      </c>
      <c r="S85" s="1" t="s">
        <v>16</v>
      </c>
      <c r="T85" s="4">
        <v>26889</v>
      </c>
      <c r="U85" s="4">
        <v>31650</v>
      </c>
      <c r="V85" s="4">
        <v>98975</v>
      </c>
      <c r="W85" s="2" t="s">
        <v>15</v>
      </c>
    </row>
    <row r="86" spans="1:23" ht="17" x14ac:dyDescent="0.2">
      <c r="A86" s="2" t="s">
        <v>15</v>
      </c>
      <c r="B86" s="4">
        <v>8725</v>
      </c>
      <c r="C86" s="1">
        <v>-900</v>
      </c>
      <c r="D86" s="1">
        <v>158</v>
      </c>
      <c r="E86" s="1" t="s">
        <v>16</v>
      </c>
      <c r="F86" s="8">
        <v>1825.6</v>
      </c>
      <c r="G86" s="6">
        <v>439.1</v>
      </c>
      <c r="H86" s="1">
        <v>25</v>
      </c>
      <c r="I86" s="5">
        <v>1817.5</v>
      </c>
      <c r="J86" s="5">
        <v>1824.6</v>
      </c>
      <c r="K86" s="1">
        <v>25</v>
      </c>
      <c r="L86" s="2">
        <v>28500</v>
      </c>
      <c r="M86" s="4">
        <v>1225</v>
      </c>
      <c r="N86" s="1">
        <v>2.7</v>
      </c>
      <c r="O86" s="1">
        <v>2.8</v>
      </c>
      <c r="P86" s="4">
        <v>1875</v>
      </c>
      <c r="Q86" s="7">
        <v>-5.35</v>
      </c>
      <c r="R86" s="2">
        <v>2.75</v>
      </c>
      <c r="S86" s="1" t="s">
        <v>16</v>
      </c>
      <c r="T86" s="4">
        <v>158056</v>
      </c>
      <c r="U86" s="4">
        <v>383475</v>
      </c>
      <c r="V86" s="4">
        <v>1111675</v>
      </c>
      <c r="W86" s="2" t="s">
        <v>15</v>
      </c>
    </row>
    <row r="87" spans="1:23" ht="17" x14ac:dyDescent="0.2">
      <c r="A87" s="2" t="s">
        <v>15</v>
      </c>
      <c r="B87" s="4">
        <v>2250</v>
      </c>
      <c r="C87" s="1">
        <v>-250</v>
      </c>
      <c r="D87" s="1">
        <v>25</v>
      </c>
      <c r="E87" s="1" t="s">
        <v>16</v>
      </c>
      <c r="F87" s="8">
        <v>1724.8</v>
      </c>
      <c r="G87" s="6">
        <v>513.65</v>
      </c>
      <c r="H87" s="1">
        <v>50</v>
      </c>
      <c r="I87" s="5">
        <v>1677.6</v>
      </c>
      <c r="J87" s="5">
        <v>1752</v>
      </c>
      <c r="K87" s="1">
        <v>50</v>
      </c>
      <c r="L87" s="2">
        <v>28600</v>
      </c>
      <c r="M87" s="1">
        <v>325</v>
      </c>
      <c r="N87" s="1">
        <v>2.95</v>
      </c>
      <c r="O87" s="1">
        <v>3.1</v>
      </c>
      <c r="P87" s="1">
        <v>500</v>
      </c>
      <c r="Q87" s="7">
        <v>-5.95</v>
      </c>
      <c r="R87" s="2">
        <v>2.95</v>
      </c>
      <c r="S87" s="1" t="s">
        <v>16</v>
      </c>
      <c r="T87" s="4">
        <v>47875</v>
      </c>
      <c r="U87" s="4">
        <v>41500</v>
      </c>
      <c r="V87" s="4">
        <v>213175</v>
      </c>
      <c r="W87" s="2" t="s">
        <v>15</v>
      </c>
    </row>
    <row r="88" spans="1:23" ht="17" x14ac:dyDescent="0.2">
      <c r="A88" s="2" t="s">
        <v>15</v>
      </c>
      <c r="B88" s="4">
        <v>1900</v>
      </c>
      <c r="C88" s="1">
        <v>50</v>
      </c>
      <c r="D88" s="1">
        <v>5</v>
      </c>
      <c r="E88" s="1" t="s">
        <v>16</v>
      </c>
      <c r="F88" s="8">
        <v>1572.3</v>
      </c>
      <c r="G88" s="6">
        <v>372</v>
      </c>
      <c r="H88" s="1">
        <v>50</v>
      </c>
      <c r="I88" s="5">
        <v>1575.75</v>
      </c>
      <c r="J88" s="5">
        <v>1646.85</v>
      </c>
      <c r="K88" s="1">
        <v>275</v>
      </c>
      <c r="L88" s="2">
        <v>28700</v>
      </c>
      <c r="M88" s="1">
        <v>475</v>
      </c>
      <c r="N88" s="1">
        <v>3.1</v>
      </c>
      <c r="O88" s="1">
        <v>3.2</v>
      </c>
      <c r="P88" s="1">
        <v>400</v>
      </c>
      <c r="Q88" s="7">
        <v>-6.25</v>
      </c>
      <c r="R88" s="2">
        <v>3.15</v>
      </c>
      <c r="S88" s="1" t="s">
        <v>16</v>
      </c>
      <c r="T88" s="4">
        <v>49941</v>
      </c>
      <c r="U88" s="1">
        <v>-525</v>
      </c>
      <c r="V88" s="4">
        <v>204025</v>
      </c>
      <c r="W88" s="2" t="s">
        <v>15</v>
      </c>
    </row>
    <row r="89" spans="1:23" ht="17" x14ac:dyDescent="0.2">
      <c r="A89" s="2" t="s">
        <v>15</v>
      </c>
      <c r="B89" s="4">
        <v>8250</v>
      </c>
      <c r="C89" s="4">
        <v>-1025</v>
      </c>
      <c r="D89" s="1">
        <v>171</v>
      </c>
      <c r="E89" s="1" t="s">
        <v>16</v>
      </c>
      <c r="F89" s="8">
        <v>1522.3</v>
      </c>
      <c r="G89" s="6">
        <v>446.35</v>
      </c>
      <c r="H89" s="1">
        <v>25</v>
      </c>
      <c r="I89" s="5">
        <v>1510.65</v>
      </c>
      <c r="J89" s="5">
        <v>1530.6</v>
      </c>
      <c r="K89" s="1">
        <v>275</v>
      </c>
      <c r="L89" s="2">
        <v>28800</v>
      </c>
      <c r="M89" s="1">
        <v>500</v>
      </c>
      <c r="N89" s="1">
        <v>3.3</v>
      </c>
      <c r="O89" s="1">
        <v>3.4</v>
      </c>
      <c r="P89" s="1">
        <v>300</v>
      </c>
      <c r="Q89" s="7">
        <v>-6.7</v>
      </c>
      <c r="R89" s="2">
        <v>3.35</v>
      </c>
      <c r="S89" s="1" t="s">
        <v>16</v>
      </c>
      <c r="T89" s="4">
        <v>68191</v>
      </c>
      <c r="U89" s="4">
        <v>-44675</v>
      </c>
      <c r="V89" s="4">
        <v>253175</v>
      </c>
      <c r="W89" s="2" t="s">
        <v>15</v>
      </c>
    </row>
    <row r="90" spans="1:23" ht="17" x14ac:dyDescent="0.2">
      <c r="A90" s="2" t="s">
        <v>15</v>
      </c>
      <c r="B90" s="4">
        <v>5475</v>
      </c>
      <c r="C90" s="1">
        <v>-450</v>
      </c>
      <c r="D90" s="1">
        <v>38</v>
      </c>
      <c r="E90" s="1" t="s">
        <v>16</v>
      </c>
      <c r="F90" s="8">
        <v>1427.7</v>
      </c>
      <c r="G90" s="6">
        <v>450.4</v>
      </c>
      <c r="H90" s="1">
        <v>50</v>
      </c>
      <c r="I90" s="5">
        <v>1380.3</v>
      </c>
      <c r="J90" s="5">
        <v>1426.2</v>
      </c>
      <c r="K90" s="1">
        <v>125</v>
      </c>
      <c r="L90" s="2">
        <v>28900</v>
      </c>
      <c r="M90" s="4">
        <v>1200</v>
      </c>
      <c r="N90" s="1">
        <v>3.6</v>
      </c>
      <c r="O90" s="1">
        <v>3.7</v>
      </c>
      <c r="P90" s="1">
        <v>25</v>
      </c>
      <c r="Q90" s="7">
        <v>-7.5</v>
      </c>
      <c r="R90" s="2">
        <v>3.65</v>
      </c>
      <c r="S90" s="1" t="s">
        <v>16</v>
      </c>
      <c r="T90" s="4">
        <v>65146</v>
      </c>
      <c r="U90" s="4">
        <v>-29600</v>
      </c>
      <c r="V90" s="4">
        <v>266025</v>
      </c>
      <c r="W90" s="2" t="s">
        <v>15</v>
      </c>
    </row>
    <row r="91" spans="1:23" ht="17" x14ac:dyDescent="0.2">
      <c r="A91" s="2" t="s">
        <v>15</v>
      </c>
      <c r="B91" s="4">
        <v>65125</v>
      </c>
      <c r="C91" s="4">
        <v>-12325</v>
      </c>
      <c r="D91" s="4">
        <v>2202</v>
      </c>
      <c r="E91" s="1" t="s">
        <v>16</v>
      </c>
      <c r="F91" s="8">
        <v>1305</v>
      </c>
      <c r="G91" s="6">
        <v>415.55</v>
      </c>
      <c r="H91" s="1">
        <v>25</v>
      </c>
      <c r="I91" s="5">
        <v>1318.4</v>
      </c>
      <c r="J91" s="5">
        <v>1323.95</v>
      </c>
      <c r="K91" s="1">
        <v>25</v>
      </c>
      <c r="L91" s="2">
        <v>29000</v>
      </c>
      <c r="M91" s="1">
        <v>575</v>
      </c>
      <c r="N91" s="1">
        <v>3.85</v>
      </c>
      <c r="O91" s="1">
        <v>3.95</v>
      </c>
      <c r="P91" s="4">
        <v>2050</v>
      </c>
      <c r="Q91" s="7">
        <v>-8.65</v>
      </c>
      <c r="R91" s="2">
        <v>3.9</v>
      </c>
      <c r="S91" s="1" t="s">
        <v>16</v>
      </c>
      <c r="T91" s="4">
        <v>212616</v>
      </c>
      <c r="U91" s="4">
        <v>296475</v>
      </c>
      <c r="V91" s="4">
        <v>1434075</v>
      </c>
      <c r="W91" s="2" t="s">
        <v>15</v>
      </c>
    </row>
    <row r="92" spans="1:23" ht="17" x14ac:dyDescent="0.2">
      <c r="A92" s="2" t="s">
        <v>15</v>
      </c>
      <c r="B92" s="4">
        <v>21900</v>
      </c>
      <c r="C92" s="4">
        <v>-2200</v>
      </c>
      <c r="D92" s="1">
        <v>204</v>
      </c>
      <c r="E92" s="1" t="s">
        <v>16</v>
      </c>
      <c r="F92" s="8">
        <v>1214</v>
      </c>
      <c r="G92" s="6">
        <v>419.45</v>
      </c>
      <c r="H92" s="1">
        <v>25</v>
      </c>
      <c r="I92" s="5">
        <v>1213.2</v>
      </c>
      <c r="J92" s="5">
        <v>1222.5</v>
      </c>
      <c r="K92" s="1">
        <v>25</v>
      </c>
      <c r="L92" s="2">
        <v>29100</v>
      </c>
      <c r="M92" s="1">
        <v>350</v>
      </c>
      <c r="N92" s="1">
        <v>4.25</v>
      </c>
      <c r="O92" s="1">
        <v>4.3</v>
      </c>
      <c r="P92" s="1">
        <v>25</v>
      </c>
      <c r="Q92" s="7">
        <v>-10.4</v>
      </c>
      <c r="R92" s="2">
        <v>4.3499999999999996</v>
      </c>
      <c r="S92" s="1" t="s">
        <v>16</v>
      </c>
      <c r="T92" s="4">
        <v>90093</v>
      </c>
      <c r="U92" s="4">
        <v>-31250</v>
      </c>
      <c r="V92" s="4">
        <v>258600</v>
      </c>
      <c r="W92" s="2" t="s">
        <v>15</v>
      </c>
    </row>
    <row r="93" spans="1:23" ht="17" x14ac:dyDescent="0.2">
      <c r="A93" s="2" t="s">
        <v>15</v>
      </c>
      <c r="B93" s="4">
        <v>31175</v>
      </c>
      <c r="C93" s="4">
        <v>-6225</v>
      </c>
      <c r="D93" s="1">
        <v>774</v>
      </c>
      <c r="E93" s="1" t="s">
        <v>16</v>
      </c>
      <c r="F93" s="8">
        <v>1123.25</v>
      </c>
      <c r="G93" s="6">
        <v>430.4</v>
      </c>
      <c r="H93" s="1">
        <v>50</v>
      </c>
      <c r="I93" s="5">
        <v>1117.7</v>
      </c>
      <c r="J93" s="5">
        <v>1123.05</v>
      </c>
      <c r="K93" s="1">
        <v>75</v>
      </c>
      <c r="L93" s="2">
        <v>29200</v>
      </c>
      <c r="M93" s="1">
        <v>300</v>
      </c>
      <c r="N93" s="1">
        <v>4.75</v>
      </c>
      <c r="O93" s="1">
        <v>4.8</v>
      </c>
      <c r="P93" s="4">
        <v>1200</v>
      </c>
      <c r="Q93" s="7">
        <v>-13.35</v>
      </c>
      <c r="R93" s="2">
        <v>4.75</v>
      </c>
      <c r="S93" s="1" t="s">
        <v>16</v>
      </c>
      <c r="T93" s="4">
        <v>129859</v>
      </c>
      <c r="U93" s="4">
        <v>-162625</v>
      </c>
      <c r="V93" s="4">
        <v>361425</v>
      </c>
      <c r="W93" s="2" t="s">
        <v>15</v>
      </c>
    </row>
    <row r="94" spans="1:23" ht="17" x14ac:dyDescent="0.2">
      <c r="A94" s="2" t="s">
        <v>15</v>
      </c>
      <c r="B94" s="4">
        <v>30725</v>
      </c>
      <c r="C94" s="4">
        <v>-6350</v>
      </c>
      <c r="D94" s="4">
        <v>2180</v>
      </c>
      <c r="E94" s="1" t="s">
        <v>16</v>
      </c>
      <c r="F94" s="8">
        <v>1023.5</v>
      </c>
      <c r="G94" s="6">
        <v>426.4</v>
      </c>
      <c r="H94" s="1">
        <v>50</v>
      </c>
      <c r="I94" s="5">
        <v>1018.9</v>
      </c>
      <c r="J94" s="5">
        <v>1025.5</v>
      </c>
      <c r="K94" s="1">
        <v>175</v>
      </c>
      <c r="L94" s="2">
        <v>29300</v>
      </c>
      <c r="M94" s="1">
        <v>25</v>
      </c>
      <c r="N94" s="1">
        <v>5.35</v>
      </c>
      <c r="O94" s="1">
        <v>5.4</v>
      </c>
      <c r="P94" s="1">
        <v>100</v>
      </c>
      <c r="Q94" s="7">
        <v>-18.55</v>
      </c>
      <c r="R94" s="2">
        <v>5.4</v>
      </c>
      <c r="S94" s="1" t="s">
        <v>16</v>
      </c>
      <c r="T94" s="4">
        <v>141602</v>
      </c>
      <c r="U94" s="4">
        <v>58650</v>
      </c>
      <c r="V94" s="4">
        <v>410575</v>
      </c>
      <c r="W94" s="2" t="s">
        <v>15</v>
      </c>
    </row>
    <row r="95" spans="1:23" ht="17" x14ac:dyDescent="0.2">
      <c r="A95" s="2" t="s">
        <v>15</v>
      </c>
      <c r="B95" s="4">
        <v>62650</v>
      </c>
      <c r="C95" s="4">
        <v>-9025</v>
      </c>
      <c r="D95" s="4">
        <v>3738</v>
      </c>
      <c r="E95" s="1" t="s">
        <v>16</v>
      </c>
      <c r="F95" s="2">
        <v>907.95</v>
      </c>
      <c r="G95" s="6">
        <v>405.35</v>
      </c>
      <c r="H95" s="1">
        <v>150</v>
      </c>
      <c r="I95" s="1">
        <v>922</v>
      </c>
      <c r="J95" s="1">
        <v>925.9</v>
      </c>
      <c r="K95" s="1">
        <v>50</v>
      </c>
      <c r="L95" s="2">
        <v>29400</v>
      </c>
      <c r="M95" s="1">
        <v>625</v>
      </c>
      <c r="N95" s="1">
        <v>6.35</v>
      </c>
      <c r="O95" s="1">
        <v>6.45</v>
      </c>
      <c r="P95" s="1">
        <v>400</v>
      </c>
      <c r="Q95" s="7">
        <v>-26.9</v>
      </c>
      <c r="R95" s="2">
        <v>6.45</v>
      </c>
      <c r="S95" s="1" t="s">
        <v>16</v>
      </c>
      <c r="T95" s="4">
        <v>196561</v>
      </c>
      <c r="U95" s="4">
        <v>65075</v>
      </c>
      <c r="V95" s="4">
        <v>412525</v>
      </c>
      <c r="W95" s="2" t="s">
        <v>15</v>
      </c>
    </row>
    <row r="96" spans="1:23" ht="17" x14ac:dyDescent="0.2">
      <c r="A96" s="2" t="s">
        <v>15</v>
      </c>
      <c r="B96" s="4">
        <v>167550</v>
      </c>
      <c r="C96" s="4">
        <v>-118675</v>
      </c>
      <c r="D96" s="4">
        <v>30560</v>
      </c>
      <c r="E96" s="1" t="s">
        <v>16</v>
      </c>
      <c r="F96" s="2">
        <v>820</v>
      </c>
      <c r="G96" s="6">
        <v>403.05</v>
      </c>
      <c r="H96" s="1">
        <v>50</v>
      </c>
      <c r="I96" s="1">
        <v>820.6</v>
      </c>
      <c r="J96" s="1">
        <v>824.8</v>
      </c>
      <c r="K96" s="1">
        <v>75</v>
      </c>
      <c r="L96" s="2">
        <v>29500</v>
      </c>
      <c r="M96" s="1">
        <v>900</v>
      </c>
      <c r="N96" s="1">
        <v>8.0500000000000007</v>
      </c>
      <c r="O96" s="1">
        <v>8.1</v>
      </c>
      <c r="P96" s="1">
        <v>50</v>
      </c>
      <c r="Q96" s="7">
        <v>-38.75</v>
      </c>
      <c r="R96" s="2">
        <v>8.1</v>
      </c>
      <c r="S96" s="1" t="s">
        <v>16</v>
      </c>
      <c r="T96" s="4">
        <v>417676</v>
      </c>
      <c r="U96" s="4">
        <v>210850</v>
      </c>
      <c r="V96" s="4">
        <v>1114275</v>
      </c>
      <c r="W96" s="2" t="s">
        <v>15</v>
      </c>
    </row>
    <row r="97" spans="1:23" ht="17" x14ac:dyDescent="0.2">
      <c r="A97" s="2" t="s">
        <v>15</v>
      </c>
      <c r="B97" s="4">
        <v>98425</v>
      </c>
      <c r="C97" s="4">
        <v>-37625</v>
      </c>
      <c r="D97" s="4">
        <v>16902</v>
      </c>
      <c r="E97" s="1" t="s">
        <v>16</v>
      </c>
      <c r="F97" s="2">
        <v>720</v>
      </c>
      <c r="G97" s="6">
        <v>386.05</v>
      </c>
      <c r="H97" s="1">
        <v>100</v>
      </c>
      <c r="I97" s="1">
        <v>722.8</v>
      </c>
      <c r="J97" s="1">
        <v>729.2</v>
      </c>
      <c r="K97" s="1">
        <v>200</v>
      </c>
      <c r="L97" s="2">
        <v>29600</v>
      </c>
      <c r="M97" s="1">
        <v>575</v>
      </c>
      <c r="N97" s="1">
        <v>10.35</v>
      </c>
      <c r="O97" s="1">
        <v>10.5</v>
      </c>
      <c r="P97" s="1">
        <v>400</v>
      </c>
      <c r="Q97" s="7">
        <v>-55.45</v>
      </c>
      <c r="R97" s="2">
        <v>10.5</v>
      </c>
      <c r="S97" s="1" t="s">
        <v>16</v>
      </c>
      <c r="T97" s="4">
        <v>374200</v>
      </c>
      <c r="U97" s="4">
        <v>301600</v>
      </c>
      <c r="V97" s="4">
        <v>859325</v>
      </c>
      <c r="W97" s="2" t="s">
        <v>15</v>
      </c>
    </row>
    <row r="98" spans="1:23" ht="17" x14ac:dyDescent="0.2">
      <c r="A98" s="2" t="s">
        <v>15</v>
      </c>
      <c r="B98" s="4">
        <v>95000</v>
      </c>
      <c r="C98" s="4">
        <v>-107850</v>
      </c>
      <c r="D98" s="4">
        <v>30968</v>
      </c>
      <c r="E98" s="1" t="s">
        <v>16</v>
      </c>
      <c r="F98" s="2">
        <v>620</v>
      </c>
      <c r="G98" s="6">
        <v>360.8</v>
      </c>
      <c r="H98" s="1">
        <v>75</v>
      </c>
      <c r="I98" s="1">
        <v>628.04999999999995</v>
      </c>
      <c r="J98" s="1">
        <v>631.70000000000005</v>
      </c>
      <c r="K98" s="1">
        <v>200</v>
      </c>
      <c r="L98" s="2">
        <v>29700</v>
      </c>
      <c r="M98" s="1">
        <v>350</v>
      </c>
      <c r="N98" s="1">
        <v>13.8</v>
      </c>
      <c r="O98" s="1">
        <v>13.95</v>
      </c>
      <c r="P98" s="1">
        <v>500</v>
      </c>
      <c r="Q98" s="7">
        <v>-77.95</v>
      </c>
      <c r="R98" s="2">
        <v>13.85</v>
      </c>
      <c r="S98" s="1" t="s">
        <v>16</v>
      </c>
      <c r="T98" s="4">
        <v>468998</v>
      </c>
      <c r="U98" s="4">
        <v>274725</v>
      </c>
      <c r="V98" s="4">
        <v>748975</v>
      </c>
      <c r="W98" s="2" t="s">
        <v>15</v>
      </c>
    </row>
    <row r="99" spans="1:23" ht="17" x14ac:dyDescent="0.2">
      <c r="A99" s="2" t="s">
        <v>15</v>
      </c>
      <c r="B99" s="4">
        <v>174325</v>
      </c>
      <c r="C99" s="4">
        <v>-185025</v>
      </c>
      <c r="D99" s="4">
        <v>57553</v>
      </c>
      <c r="E99" s="1" t="s">
        <v>16</v>
      </c>
      <c r="F99" s="2">
        <v>535</v>
      </c>
      <c r="G99" s="6">
        <v>341.4</v>
      </c>
      <c r="H99" s="1">
        <v>50</v>
      </c>
      <c r="I99" s="1">
        <v>533.79999999999995</v>
      </c>
      <c r="J99" s="1">
        <v>536.15</v>
      </c>
      <c r="K99" s="1">
        <v>100</v>
      </c>
      <c r="L99" s="2">
        <v>29800</v>
      </c>
      <c r="M99" s="1">
        <v>450</v>
      </c>
      <c r="N99" s="1">
        <v>18.350000000000001</v>
      </c>
      <c r="O99" s="1">
        <v>18.5</v>
      </c>
      <c r="P99" s="1">
        <v>200</v>
      </c>
      <c r="Q99" s="7">
        <v>-106.45</v>
      </c>
      <c r="R99" s="2">
        <v>18.45</v>
      </c>
      <c r="S99" s="1" t="s">
        <v>16</v>
      </c>
      <c r="T99" s="4">
        <v>692991</v>
      </c>
      <c r="U99" s="4">
        <v>571725</v>
      </c>
      <c r="V99" s="4">
        <v>989200</v>
      </c>
      <c r="W99" s="2" t="s">
        <v>15</v>
      </c>
    </row>
    <row r="100" spans="1:23" ht="17" x14ac:dyDescent="0.2">
      <c r="A100" s="2" t="s">
        <v>15</v>
      </c>
      <c r="B100" s="4">
        <v>79800</v>
      </c>
      <c r="C100" s="4">
        <v>-173675</v>
      </c>
      <c r="D100" s="4">
        <v>87141</v>
      </c>
      <c r="E100" s="1" t="s">
        <v>16</v>
      </c>
      <c r="F100" s="2">
        <v>442</v>
      </c>
      <c r="G100" s="6">
        <v>303.3</v>
      </c>
      <c r="H100" s="1">
        <v>100</v>
      </c>
      <c r="I100" s="1">
        <v>440.4</v>
      </c>
      <c r="J100" s="1">
        <v>442</v>
      </c>
      <c r="K100" s="1">
        <v>25</v>
      </c>
      <c r="L100" s="2">
        <v>29900</v>
      </c>
      <c r="M100" s="1">
        <v>25</v>
      </c>
      <c r="N100" s="1">
        <v>24.85</v>
      </c>
      <c r="O100" s="1">
        <v>25</v>
      </c>
      <c r="P100" s="1">
        <v>200</v>
      </c>
      <c r="Q100" s="7">
        <v>-143.75</v>
      </c>
      <c r="R100" s="2">
        <v>24.85</v>
      </c>
      <c r="S100" s="1" t="s">
        <v>16</v>
      </c>
      <c r="T100" s="4">
        <v>767684</v>
      </c>
      <c r="U100" s="4">
        <v>996200</v>
      </c>
      <c r="V100" s="4">
        <v>1164600</v>
      </c>
      <c r="W100" s="2" t="s">
        <v>15</v>
      </c>
    </row>
    <row r="101" spans="1:23" ht="17" x14ac:dyDescent="0.2">
      <c r="A101" s="2" t="s">
        <v>15</v>
      </c>
      <c r="B101" s="4">
        <v>510900</v>
      </c>
      <c r="C101" s="4">
        <v>-387475</v>
      </c>
      <c r="D101" s="4">
        <v>345123</v>
      </c>
      <c r="E101" s="1" t="s">
        <v>16</v>
      </c>
      <c r="F101" s="2">
        <v>348.2</v>
      </c>
      <c r="G101" s="6">
        <v>253.95</v>
      </c>
      <c r="H101" s="1">
        <v>50</v>
      </c>
      <c r="I101" s="1">
        <v>346.65</v>
      </c>
      <c r="J101" s="1">
        <v>348.25</v>
      </c>
      <c r="K101" s="1">
        <v>50</v>
      </c>
      <c r="L101" s="2">
        <v>30000</v>
      </c>
      <c r="M101" s="1">
        <v>500</v>
      </c>
      <c r="N101" s="1">
        <v>33.75</v>
      </c>
      <c r="O101" s="1">
        <v>33.9</v>
      </c>
      <c r="P101" s="1">
        <v>100</v>
      </c>
      <c r="Q101" s="7">
        <v>-187.45</v>
      </c>
      <c r="R101" s="2">
        <v>33.799999999999997</v>
      </c>
      <c r="S101" s="1" t="s">
        <v>16</v>
      </c>
      <c r="T101" s="4">
        <v>1481466</v>
      </c>
      <c r="U101" s="4">
        <v>2935900</v>
      </c>
      <c r="V101" s="4">
        <v>3242850</v>
      </c>
      <c r="W101" s="2" t="s">
        <v>15</v>
      </c>
    </row>
    <row r="102" spans="1:23" ht="17" x14ac:dyDescent="0.2">
      <c r="A102" s="2" t="s">
        <v>15</v>
      </c>
      <c r="B102" s="4">
        <v>239900</v>
      </c>
      <c r="C102" s="4">
        <v>-105575</v>
      </c>
      <c r="D102" s="4">
        <v>297676</v>
      </c>
      <c r="E102" s="1" t="s">
        <v>16</v>
      </c>
      <c r="F102" s="2">
        <v>258.7</v>
      </c>
      <c r="G102" s="6">
        <v>200.45</v>
      </c>
      <c r="H102" s="1">
        <v>25</v>
      </c>
      <c r="I102" s="1">
        <v>260</v>
      </c>
      <c r="J102" s="1">
        <v>260.8</v>
      </c>
      <c r="K102" s="1">
        <v>50</v>
      </c>
      <c r="L102" s="2">
        <v>30100</v>
      </c>
      <c r="M102" s="1">
        <v>50</v>
      </c>
      <c r="N102" s="1">
        <v>44.95</v>
      </c>
      <c r="O102" s="1">
        <v>45.2</v>
      </c>
      <c r="P102" s="1">
        <v>150</v>
      </c>
      <c r="Q102" s="7">
        <v>-239.95</v>
      </c>
      <c r="R102" s="2">
        <v>45</v>
      </c>
      <c r="S102" s="1" t="s">
        <v>16</v>
      </c>
      <c r="T102" s="4">
        <v>766591</v>
      </c>
      <c r="U102" s="4">
        <v>1118000</v>
      </c>
      <c r="V102" s="4">
        <v>1167975</v>
      </c>
      <c r="W102" s="2" t="s">
        <v>15</v>
      </c>
    </row>
    <row r="103" spans="1:23" ht="17" x14ac:dyDescent="0.2">
      <c r="A103" s="2" t="s">
        <v>15</v>
      </c>
      <c r="B103" s="4">
        <v>535125</v>
      </c>
      <c r="C103" s="4">
        <v>45350</v>
      </c>
      <c r="D103" s="4">
        <v>772508</v>
      </c>
      <c r="E103" s="1" t="s">
        <v>16</v>
      </c>
      <c r="F103" s="2">
        <v>177.6</v>
      </c>
      <c r="G103" s="6">
        <v>143.94999999999999</v>
      </c>
      <c r="H103" s="1">
        <v>50</v>
      </c>
      <c r="I103" s="1">
        <v>177.2</v>
      </c>
      <c r="J103" s="1">
        <v>178.15</v>
      </c>
      <c r="K103" s="1">
        <v>25</v>
      </c>
      <c r="L103" s="2">
        <v>30200</v>
      </c>
      <c r="M103" s="1">
        <v>25</v>
      </c>
      <c r="N103" s="1">
        <v>64.3</v>
      </c>
      <c r="O103" s="1">
        <v>64.349999999999994</v>
      </c>
      <c r="P103" s="1">
        <v>200</v>
      </c>
      <c r="Q103" s="7">
        <v>-298.64999999999998</v>
      </c>
      <c r="R103" s="2">
        <v>64.349999999999994</v>
      </c>
      <c r="S103" s="1" t="s">
        <v>16</v>
      </c>
      <c r="T103" s="4">
        <v>917417</v>
      </c>
      <c r="U103" s="4">
        <v>1548075</v>
      </c>
      <c r="V103" s="4">
        <v>1589225</v>
      </c>
      <c r="W103" s="2" t="s">
        <v>15</v>
      </c>
    </row>
    <row r="104" spans="1:23" ht="17" x14ac:dyDescent="0.2">
      <c r="A104" s="2" t="s">
        <v>15</v>
      </c>
      <c r="B104" s="4">
        <v>957275</v>
      </c>
      <c r="C104" s="4">
        <v>453025</v>
      </c>
      <c r="D104" s="4">
        <v>1019309</v>
      </c>
      <c r="E104" s="1" t="s">
        <v>16</v>
      </c>
      <c r="F104" s="2">
        <v>112.15</v>
      </c>
      <c r="G104" s="6">
        <v>93.1</v>
      </c>
      <c r="H104" s="1">
        <v>50</v>
      </c>
      <c r="I104" s="1">
        <v>111.75</v>
      </c>
      <c r="J104" s="1">
        <v>112.15</v>
      </c>
      <c r="K104" s="1">
        <v>50</v>
      </c>
      <c r="L104" s="2">
        <v>30300</v>
      </c>
      <c r="M104" s="1">
        <v>25</v>
      </c>
      <c r="N104" s="1">
        <v>99.1</v>
      </c>
      <c r="O104" s="1">
        <v>99.3</v>
      </c>
      <c r="P104" s="1">
        <v>100</v>
      </c>
      <c r="Q104" s="7">
        <v>-345.55</v>
      </c>
      <c r="R104" s="2">
        <v>99</v>
      </c>
      <c r="S104" s="1" t="s">
        <v>16</v>
      </c>
      <c r="T104" s="4">
        <v>794162</v>
      </c>
      <c r="U104" s="4">
        <v>1038825</v>
      </c>
      <c r="V104" s="4">
        <v>1091375</v>
      </c>
      <c r="W104" s="2" t="s">
        <v>15</v>
      </c>
    </row>
    <row r="105" spans="1:23" ht="17" x14ac:dyDescent="0.2">
      <c r="A105" s="2" t="s">
        <v>15</v>
      </c>
      <c r="B105" s="4">
        <v>1326275</v>
      </c>
      <c r="C105" s="4">
        <v>734450</v>
      </c>
      <c r="D105" s="4">
        <v>1151398</v>
      </c>
      <c r="E105" s="1" t="s">
        <v>16</v>
      </c>
      <c r="F105" s="2">
        <v>63.4</v>
      </c>
      <c r="G105" s="6">
        <v>51.65</v>
      </c>
      <c r="H105" s="1">
        <v>25</v>
      </c>
      <c r="I105" s="1">
        <v>63.25</v>
      </c>
      <c r="J105" s="1">
        <v>63.5</v>
      </c>
      <c r="K105" s="1">
        <v>100</v>
      </c>
      <c r="L105" s="2">
        <v>30400</v>
      </c>
      <c r="M105" s="1">
        <v>25</v>
      </c>
      <c r="N105" s="1">
        <v>149.4</v>
      </c>
      <c r="O105" s="1">
        <v>150.19999999999999</v>
      </c>
      <c r="P105" s="1">
        <v>25</v>
      </c>
      <c r="Q105" s="7">
        <v>-382.2</v>
      </c>
      <c r="R105" s="2">
        <v>149.55000000000001</v>
      </c>
      <c r="S105" s="1" t="s">
        <v>16</v>
      </c>
      <c r="T105" s="4">
        <v>391855</v>
      </c>
      <c r="U105" s="4">
        <v>414175</v>
      </c>
      <c r="V105" s="4">
        <v>492700</v>
      </c>
      <c r="W105" s="2" t="s">
        <v>15</v>
      </c>
    </row>
    <row r="106" spans="1:23" ht="17" x14ac:dyDescent="0.2">
      <c r="A106" s="2" t="s">
        <v>15</v>
      </c>
      <c r="B106" s="4">
        <v>2652950</v>
      </c>
      <c r="C106" s="4">
        <v>1595325</v>
      </c>
      <c r="D106" s="4">
        <v>1636216</v>
      </c>
      <c r="E106" s="1" t="s">
        <v>16</v>
      </c>
      <c r="F106" s="2">
        <v>32.200000000000003</v>
      </c>
      <c r="G106" s="6">
        <v>23.45</v>
      </c>
      <c r="H106" s="1">
        <v>75</v>
      </c>
      <c r="I106" s="1">
        <v>32.200000000000003</v>
      </c>
      <c r="J106" s="1">
        <v>32.35</v>
      </c>
      <c r="K106" s="1">
        <v>25</v>
      </c>
      <c r="L106" s="2">
        <v>30500</v>
      </c>
      <c r="M106" s="1">
        <v>25</v>
      </c>
      <c r="N106" s="1">
        <v>218.65</v>
      </c>
      <c r="O106" s="1">
        <v>219.85</v>
      </c>
      <c r="P106" s="1">
        <v>50</v>
      </c>
      <c r="Q106" s="7">
        <v>-401.35</v>
      </c>
      <c r="R106" s="2">
        <v>218.75</v>
      </c>
      <c r="S106" s="1" t="s">
        <v>16</v>
      </c>
      <c r="T106" s="4">
        <v>273781</v>
      </c>
      <c r="U106" s="4">
        <v>185125</v>
      </c>
      <c r="V106" s="4">
        <v>375525</v>
      </c>
      <c r="W106" s="2" t="s">
        <v>15</v>
      </c>
    </row>
    <row r="107" spans="1:23" ht="17" x14ac:dyDescent="0.2">
      <c r="A107" s="2" t="s">
        <v>15</v>
      </c>
      <c r="B107" s="4">
        <v>1218400</v>
      </c>
      <c r="C107" s="4">
        <v>891275</v>
      </c>
      <c r="D107" s="4">
        <v>768785</v>
      </c>
      <c r="E107" s="1" t="s">
        <v>16</v>
      </c>
      <c r="F107" s="2">
        <v>16.100000000000001</v>
      </c>
      <c r="G107" s="6">
        <v>9.0500000000000007</v>
      </c>
      <c r="H107" s="1">
        <v>75</v>
      </c>
      <c r="I107" s="1">
        <v>16.05</v>
      </c>
      <c r="J107" s="1">
        <v>16.149999999999999</v>
      </c>
      <c r="K107" s="1">
        <v>100</v>
      </c>
      <c r="L107" s="2">
        <v>30600</v>
      </c>
      <c r="M107" s="1">
        <v>25</v>
      </c>
      <c r="N107" s="1">
        <v>300.2</v>
      </c>
      <c r="O107" s="1">
        <v>301.85000000000002</v>
      </c>
      <c r="P107" s="1">
        <v>25</v>
      </c>
      <c r="Q107" s="7">
        <v>-413</v>
      </c>
      <c r="R107" s="2">
        <v>302.95</v>
      </c>
      <c r="S107" s="1" t="s">
        <v>16</v>
      </c>
      <c r="T107" s="4">
        <v>55109</v>
      </c>
      <c r="U107" s="4">
        <v>45350</v>
      </c>
      <c r="V107" s="4">
        <v>83250</v>
      </c>
      <c r="W107" s="2" t="s">
        <v>15</v>
      </c>
    </row>
    <row r="108" spans="1:23" ht="17" x14ac:dyDescent="0.2">
      <c r="A108" s="2" t="s">
        <v>15</v>
      </c>
      <c r="B108" s="4">
        <v>994450</v>
      </c>
      <c r="C108" s="4">
        <v>653350</v>
      </c>
      <c r="D108" s="4">
        <v>556356</v>
      </c>
      <c r="E108" s="1" t="s">
        <v>16</v>
      </c>
      <c r="F108" s="2">
        <v>9.9499999999999993</v>
      </c>
      <c r="G108" s="6">
        <v>3.8</v>
      </c>
      <c r="H108" s="1">
        <v>100</v>
      </c>
      <c r="I108" s="1">
        <v>9.85</v>
      </c>
      <c r="J108" s="1">
        <v>9.9499999999999993</v>
      </c>
      <c r="K108" s="4">
        <v>1175</v>
      </c>
      <c r="L108" s="2">
        <v>30700</v>
      </c>
      <c r="M108" s="1">
        <v>50</v>
      </c>
      <c r="N108" s="1">
        <v>394.3</v>
      </c>
      <c r="O108" s="1">
        <v>396.3</v>
      </c>
      <c r="P108" s="1">
        <v>100</v>
      </c>
      <c r="Q108" s="7">
        <v>-451</v>
      </c>
      <c r="R108" s="2">
        <v>395.85</v>
      </c>
      <c r="S108" s="1" t="s">
        <v>16</v>
      </c>
      <c r="T108" s="4">
        <v>26873</v>
      </c>
      <c r="U108" s="4">
        <v>29175</v>
      </c>
      <c r="V108" s="4">
        <v>82325</v>
      </c>
      <c r="W108" s="2" t="s">
        <v>15</v>
      </c>
    </row>
    <row r="109" spans="1:23" ht="17" x14ac:dyDescent="0.2">
      <c r="A109" s="2" t="s">
        <v>15</v>
      </c>
      <c r="B109" s="4">
        <v>981400</v>
      </c>
      <c r="C109" s="4">
        <v>609325</v>
      </c>
      <c r="D109" s="4">
        <v>406711</v>
      </c>
      <c r="E109" s="1" t="s">
        <v>16</v>
      </c>
      <c r="F109" s="2">
        <v>6.75</v>
      </c>
      <c r="G109" s="6">
        <v>1.2</v>
      </c>
      <c r="H109" s="1">
        <v>125</v>
      </c>
      <c r="I109" s="1">
        <v>6.75</v>
      </c>
      <c r="J109" s="1">
        <v>6.8</v>
      </c>
      <c r="K109" s="1">
        <v>100</v>
      </c>
      <c r="L109" s="2">
        <v>30800</v>
      </c>
      <c r="M109" s="1">
        <v>50</v>
      </c>
      <c r="N109" s="1">
        <v>492.5</v>
      </c>
      <c r="O109" s="1">
        <v>495.35</v>
      </c>
      <c r="P109" s="1">
        <v>25</v>
      </c>
      <c r="Q109" s="7">
        <v>-438.1</v>
      </c>
      <c r="R109" s="2">
        <v>500</v>
      </c>
      <c r="S109" s="1" t="s">
        <v>16</v>
      </c>
      <c r="T109" s="4">
        <v>6777</v>
      </c>
      <c r="U109" s="4">
        <v>6175</v>
      </c>
      <c r="V109" s="4">
        <v>90725</v>
      </c>
      <c r="W109" s="2" t="s">
        <v>15</v>
      </c>
    </row>
    <row r="110" spans="1:23" ht="17" x14ac:dyDescent="0.2">
      <c r="A110" s="2" t="s">
        <v>15</v>
      </c>
      <c r="B110" s="4">
        <v>549125</v>
      </c>
      <c r="C110" s="4">
        <v>304525</v>
      </c>
      <c r="D110" s="4">
        <v>229818</v>
      </c>
      <c r="E110" s="1" t="s">
        <v>16</v>
      </c>
      <c r="F110" s="2">
        <v>5</v>
      </c>
      <c r="G110" s="7">
        <v>-0.2</v>
      </c>
      <c r="H110" s="1">
        <v>225</v>
      </c>
      <c r="I110" s="1">
        <v>4.95</v>
      </c>
      <c r="J110" s="1">
        <v>5</v>
      </c>
      <c r="K110" s="4">
        <v>3900</v>
      </c>
      <c r="L110" s="2">
        <v>30900</v>
      </c>
      <c r="M110" s="1">
        <v>25</v>
      </c>
      <c r="N110" s="1">
        <v>586.04999999999995</v>
      </c>
      <c r="O110" s="1">
        <v>590.15</v>
      </c>
      <c r="P110" s="1">
        <v>25</v>
      </c>
      <c r="Q110" s="7">
        <v>-421.75</v>
      </c>
      <c r="R110" s="2">
        <v>607.4</v>
      </c>
      <c r="S110" s="1" t="s">
        <v>16</v>
      </c>
      <c r="T110" s="4">
        <v>1658</v>
      </c>
      <c r="U110" s="1">
        <v>-650</v>
      </c>
      <c r="V110" s="4">
        <v>33075</v>
      </c>
      <c r="W110" s="2" t="s">
        <v>15</v>
      </c>
    </row>
    <row r="111" spans="1:23" ht="17" x14ac:dyDescent="0.2">
      <c r="A111" s="2" t="s">
        <v>15</v>
      </c>
      <c r="B111" s="4">
        <v>1338250</v>
      </c>
      <c r="C111" s="4">
        <v>409175</v>
      </c>
      <c r="D111" s="4">
        <v>364352</v>
      </c>
      <c r="E111" s="1" t="s">
        <v>16</v>
      </c>
      <c r="F111" s="2">
        <v>3.75</v>
      </c>
      <c r="G111" s="7">
        <v>-1.2</v>
      </c>
      <c r="H111" s="1">
        <v>575</v>
      </c>
      <c r="I111" s="1">
        <v>3.75</v>
      </c>
      <c r="J111" s="1">
        <v>3.8</v>
      </c>
      <c r="K111" s="4">
        <v>3275</v>
      </c>
      <c r="L111" s="2">
        <v>31000</v>
      </c>
      <c r="M111" s="1">
        <v>25</v>
      </c>
      <c r="N111" s="1">
        <v>688.7</v>
      </c>
      <c r="O111" s="1">
        <v>692.6</v>
      </c>
      <c r="P111" s="1">
        <v>25</v>
      </c>
      <c r="Q111" s="7">
        <v>-436.7</v>
      </c>
      <c r="R111" s="2">
        <v>698</v>
      </c>
      <c r="S111" s="1" t="s">
        <v>16</v>
      </c>
      <c r="T111" s="4">
        <v>4381</v>
      </c>
      <c r="U111" s="4">
        <v>6025</v>
      </c>
      <c r="V111" s="4">
        <v>93025</v>
      </c>
      <c r="W111" s="2" t="s">
        <v>15</v>
      </c>
    </row>
    <row r="112" spans="1:23" ht="17" x14ac:dyDescent="0.2">
      <c r="A112" s="2" t="s">
        <v>15</v>
      </c>
      <c r="B112" s="4">
        <v>232625</v>
      </c>
      <c r="C112" s="4">
        <v>131925</v>
      </c>
      <c r="D112" s="4">
        <v>88122</v>
      </c>
      <c r="E112" s="1" t="s">
        <v>16</v>
      </c>
      <c r="F112" s="2">
        <v>3</v>
      </c>
      <c r="G112" s="7">
        <v>-1.55</v>
      </c>
      <c r="H112" s="1">
        <v>375</v>
      </c>
      <c r="I112" s="1">
        <v>3</v>
      </c>
      <c r="J112" s="1">
        <v>3.05</v>
      </c>
      <c r="K112" s="1">
        <v>200</v>
      </c>
      <c r="L112" s="2">
        <v>31100</v>
      </c>
      <c r="M112" s="1">
        <v>25</v>
      </c>
      <c r="N112" s="1">
        <v>783.2</v>
      </c>
      <c r="O112" s="1">
        <v>790.85</v>
      </c>
      <c r="P112" s="1">
        <v>25</v>
      </c>
      <c r="Q112" s="7">
        <v>-450.35</v>
      </c>
      <c r="R112" s="2">
        <v>795.75</v>
      </c>
      <c r="S112" s="1" t="s">
        <v>16</v>
      </c>
      <c r="T112" s="1">
        <v>119</v>
      </c>
      <c r="U112" s="1">
        <v>-575</v>
      </c>
      <c r="V112" s="4">
        <v>5600</v>
      </c>
      <c r="W112" s="2" t="s">
        <v>15</v>
      </c>
    </row>
    <row r="113" spans="1:23" ht="17" x14ac:dyDescent="0.2">
      <c r="A113" s="2" t="s">
        <v>15</v>
      </c>
      <c r="B113" s="4">
        <v>287550</v>
      </c>
      <c r="C113" s="4">
        <v>183900</v>
      </c>
      <c r="D113" s="4">
        <v>70019</v>
      </c>
      <c r="E113" s="1" t="s">
        <v>16</v>
      </c>
      <c r="F113" s="2">
        <v>2.5</v>
      </c>
      <c r="G113" s="7">
        <v>-1.75</v>
      </c>
      <c r="H113" s="4">
        <v>1175</v>
      </c>
      <c r="I113" s="1">
        <v>2.4</v>
      </c>
      <c r="J113" s="1">
        <v>2.5</v>
      </c>
      <c r="K113" s="1">
        <v>25</v>
      </c>
      <c r="L113" s="2">
        <v>31200</v>
      </c>
      <c r="M113" s="1">
        <v>50</v>
      </c>
      <c r="N113" s="1">
        <v>880.8</v>
      </c>
      <c r="O113" s="1">
        <v>891.95</v>
      </c>
      <c r="P113" s="1">
        <v>75</v>
      </c>
      <c r="Q113" s="7">
        <v>-419.95</v>
      </c>
      <c r="R113" s="2">
        <v>913.05</v>
      </c>
      <c r="S113" s="1" t="s">
        <v>16</v>
      </c>
      <c r="T113" s="1">
        <v>225</v>
      </c>
      <c r="U113" s="1">
        <v>-25</v>
      </c>
      <c r="V113" s="4">
        <v>6600</v>
      </c>
      <c r="W113" s="2" t="s">
        <v>15</v>
      </c>
    </row>
    <row r="114" spans="1:23" ht="17" x14ac:dyDescent="0.2">
      <c r="A114" s="2" t="s">
        <v>15</v>
      </c>
      <c r="B114" s="4">
        <v>181325</v>
      </c>
      <c r="C114" s="4">
        <v>99150</v>
      </c>
      <c r="D114" s="4">
        <v>45962</v>
      </c>
      <c r="E114" s="1" t="s">
        <v>16</v>
      </c>
      <c r="F114" s="2">
        <v>2.25</v>
      </c>
      <c r="G114" s="7">
        <v>-1.8</v>
      </c>
      <c r="H114" s="4">
        <v>3025</v>
      </c>
      <c r="I114" s="1">
        <v>2.15</v>
      </c>
      <c r="J114" s="1">
        <v>2.25</v>
      </c>
      <c r="K114" s="1">
        <v>975</v>
      </c>
      <c r="L114" s="2">
        <v>31300</v>
      </c>
      <c r="M114" s="1">
        <v>50</v>
      </c>
      <c r="N114" s="1">
        <v>982.7</v>
      </c>
      <c r="O114" s="1">
        <v>993.45</v>
      </c>
      <c r="P114" s="1">
        <v>50</v>
      </c>
      <c r="Q114" s="7">
        <v>-575.04999999999995</v>
      </c>
      <c r="R114" s="2">
        <v>960.5</v>
      </c>
      <c r="S114" s="1" t="s">
        <v>16</v>
      </c>
      <c r="T114" s="1">
        <v>207</v>
      </c>
      <c r="U114" s="1">
        <v>-600</v>
      </c>
      <c r="V114" s="4">
        <v>3775</v>
      </c>
      <c r="W114" s="2" t="s">
        <v>15</v>
      </c>
    </row>
    <row r="115" spans="1:23" ht="17" x14ac:dyDescent="0.2">
      <c r="A115" s="2" t="s">
        <v>15</v>
      </c>
      <c r="B115" s="4">
        <v>108050</v>
      </c>
      <c r="C115" s="4">
        <v>38725</v>
      </c>
      <c r="D115" s="4">
        <v>35923</v>
      </c>
      <c r="E115" s="1" t="s">
        <v>16</v>
      </c>
      <c r="F115" s="2">
        <v>2.0499999999999998</v>
      </c>
      <c r="G115" s="7">
        <v>-1.7</v>
      </c>
      <c r="H115" s="4">
        <v>1100</v>
      </c>
      <c r="I115" s="1">
        <v>2</v>
      </c>
      <c r="J115" s="1">
        <v>2.1</v>
      </c>
      <c r="K115" s="1">
        <v>925</v>
      </c>
      <c r="L115" s="2">
        <v>31400</v>
      </c>
      <c r="M115" s="1">
        <v>250</v>
      </c>
      <c r="N115" s="5">
        <v>1079.3</v>
      </c>
      <c r="O115" s="5">
        <v>1096.9000000000001</v>
      </c>
      <c r="P115" s="1">
        <v>50</v>
      </c>
      <c r="Q115" s="7">
        <v>-521.65</v>
      </c>
      <c r="R115" s="8">
        <v>1045</v>
      </c>
      <c r="S115" s="1" t="s">
        <v>16</v>
      </c>
      <c r="T115" s="1">
        <v>7</v>
      </c>
      <c r="U115" s="1">
        <v>-25</v>
      </c>
      <c r="V115" s="4">
        <v>1250</v>
      </c>
      <c r="W115" s="2" t="s">
        <v>15</v>
      </c>
    </row>
    <row r="116" spans="1:23" ht="17" x14ac:dyDescent="0.2">
      <c r="A116" s="2" t="s">
        <v>15</v>
      </c>
      <c r="B116" s="4">
        <v>1013725</v>
      </c>
      <c r="C116" s="4">
        <v>427300</v>
      </c>
      <c r="D116" s="4">
        <v>160282</v>
      </c>
      <c r="E116" s="1" t="s">
        <v>16</v>
      </c>
      <c r="F116" s="2">
        <v>1.85</v>
      </c>
      <c r="G116" s="7">
        <v>-1.9</v>
      </c>
      <c r="H116" s="4">
        <v>2450</v>
      </c>
      <c r="I116" s="1">
        <v>1.8</v>
      </c>
      <c r="J116" s="1">
        <v>1.85</v>
      </c>
      <c r="K116" s="1">
        <v>700</v>
      </c>
      <c r="L116" s="2">
        <v>31500</v>
      </c>
      <c r="M116" s="1">
        <v>25</v>
      </c>
      <c r="N116" s="5">
        <v>1182.2</v>
      </c>
      <c r="O116" s="5">
        <v>1192.4000000000001</v>
      </c>
      <c r="P116" s="1">
        <v>25</v>
      </c>
      <c r="Q116" s="7">
        <v>-452.95</v>
      </c>
      <c r="R116" s="8">
        <v>1190</v>
      </c>
      <c r="S116" s="1" t="s">
        <v>16</v>
      </c>
      <c r="T116" s="1">
        <v>187</v>
      </c>
      <c r="U116" s="4">
        <v>-1150</v>
      </c>
      <c r="V116" s="4">
        <v>6825</v>
      </c>
      <c r="W116" s="2" t="s">
        <v>15</v>
      </c>
    </row>
    <row r="117" spans="1:23" ht="17" x14ac:dyDescent="0.2">
      <c r="A117" s="2" t="s">
        <v>15</v>
      </c>
      <c r="B117" s="4">
        <v>133275</v>
      </c>
      <c r="C117" s="4">
        <v>19625</v>
      </c>
      <c r="D117" s="4">
        <v>17111</v>
      </c>
      <c r="E117" s="1" t="s">
        <v>16</v>
      </c>
      <c r="F117" s="2">
        <v>1.7</v>
      </c>
      <c r="G117" s="7">
        <v>-1.85</v>
      </c>
      <c r="H117" s="4">
        <v>1475</v>
      </c>
      <c r="I117" s="1">
        <v>1.7</v>
      </c>
      <c r="J117" s="1">
        <v>1.75</v>
      </c>
      <c r="K117" s="1">
        <v>725</v>
      </c>
      <c r="L117" s="2">
        <v>31600</v>
      </c>
      <c r="M117" s="1">
        <v>75</v>
      </c>
      <c r="N117" s="5">
        <v>1281.25</v>
      </c>
      <c r="O117" s="5">
        <v>1286.95</v>
      </c>
      <c r="P117" s="1">
        <v>25</v>
      </c>
      <c r="Q117" s="7">
        <v>-663.1</v>
      </c>
      <c r="R117" s="8">
        <v>1283.6500000000001</v>
      </c>
      <c r="S117" s="1" t="s">
        <v>16</v>
      </c>
      <c r="T117" s="1">
        <v>2</v>
      </c>
      <c r="U117" s="1" t="s">
        <v>16</v>
      </c>
      <c r="V117" s="4">
        <v>1525</v>
      </c>
      <c r="W117" s="2" t="s">
        <v>15</v>
      </c>
    </row>
    <row r="118" spans="1:23" ht="17" x14ac:dyDescent="0.2">
      <c r="A118" s="2" t="s">
        <v>15</v>
      </c>
      <c r="B118" s="4">
        <v>120775</v>
      </c>
      <c r="C118" s="4">
        <v>52175</v>
      </c>
      <c r="D118" s="4">
        <v>16613</v>
      </c>
      <c r="E118" s="1" t="s">
        <v>16</v>
      </c>
      <c r="F118" s="2">
        <v>1.6</v>
      </c>
      <c r="G118" s="7">
        <v>-1.25</v>
      </c>
      <c r="H118" s="1">
        <v>925</v>
      </c>
      <c r="I118" s="1">
        <v>1.55</v>
      </c>
      <c r="J118" s="1">
        <v>1.65</v>
      </c>
      <c r="K118" s="1">
        <v>975</v>
      </c>
      <c r="L118" s="2">
        <v>31700</v>
      </c>
      <c r="M118" s="1">
        <v>25</v>
      </c>
      <c r="N118" s="5">
        <v>1379.95</v>
      </c>
      <c r="O118" s="5">
        <v>1395.75</v>
      </c>
      <c r="P118" s="1">
        <v>25</v>
      </c>
      <c r="Q118" s="7">
        <v>-508.35</v>
      </c>
      <c r="R118" s="8">
        <v>1600</v>
      </c>
      <c r="S118" s="1" t="s">
        <v>16</v>
      </c>
      <c r="T118" s="1">
        <v>1</v>
      </c>
      <c r="U118" s="1" t="s">
        <v>16</v>
      </c>
      <c r="V118" s="1">
        <v>300</v>
      </c>
      <c r="W118" s="2" t="s">
        <v>15</v>
      </c>
    </row>
    <row r="119" spans="1:23" ht="17" x14ac:dyDescent="0.2">
      <c r="A119" s="2" t="s">
        <v>15</v>
      </c>
      <c r="B119" s="4">
        <v>81675</v>
      </c>
      <c r="C119" s="4">
        <v>30250</v>
      </c>
      <c r="D119" s="4">
        <v>12910</v>
      </c>
      <c r="E119" s="1" t="s">
        <v>16</v>
      </c>
      <c r="F119" s="2">
        <v>1.5</v>
      </c>
      <c r="G119" s="7">
        <v>-1.5</v>
      </c>
      <c r="H119" s="1">
        <v>775</v>
      </c>
      <c r="I119" s="1">
        <v>1.5</v>
      </c>
      <c r="J119" s="1">
        <v>1.55</v>
      </c>
      <c r="K119" s="1">
        <v>625</v>
      </c>
      <c r="L119" s="2">
        <v>31800</v>
      </c>
      <c r="M119" s="1">
        <v>25</v>
      </c>
      <c r="N119" s="5">
        <v>1455.05</v>
      </c>
      <c r="O119" s="5">
        <v>1543.5</v>
      </c>
      <c r="P119" s="1">
        <v>625</v>
      </c>
      <c r="Q119" s="7">
        <v>-640.45000000000005</v>
      </c>
      <c r="R119" s="8">
        <v>1509.55</v>
      </c>
      <c r="S119" s="1" t="s">
        <v>16</v>
      </c>
      <c r="T119" s="1">
        <v>11</v>
      </c>
      <c r="U119" s="1">
        <v>-50</v>
      </c>
      <c r="V119" s="1">
        <v>750</v>
      </c>
      <c r="W119" s="2" t="s">
        <v>15</v>
      </c>
    </row>
    <row r="120" spans="1:23" ht="17" x14ac:dyDescent="0.2">
      <c r="A120" s="2" t="s">
        <v>15</v>
      </c>
      <c r="B120" s="4">
        <v>55625</v>
      </c>
      <c r="C120" s="4">
        <v>18000</v>
      </c>
      <c r="D120" s="4">
        <v>12252</v>
      </c>
      <c r="E120" s="1" t="s">
        <v>16</v>
      </c>
      <c r="F120" s="2">
        <v>1.4</v>
      </c>
      <c r="G120" s="7">
        <v>-1.55</v>
      </c>
      <c r="H120" s="4">
        <v>1050</v>
      </c>
      <c r="I120" s="1">
        <v>1.4</v>
      </c>
      <c r="J120" s="1">
        <v>1.45</v>
      </c>
      <c r="K120" s="4">
        <v>1450</v>
      </c>
      <c r="L120" s="2">
        <v>31900</v>
      </c>
      <c r="M120" s="1">
        <v>50</v>
      </c>
      <c r="N120" s="5">
        <v>1564.3</v>
      </c>
      <c r="O120" s="5">
        <v>1607.15</v>
      </c>
      <c r="P120" s="1">
        <v>50</v>
      </c>
      <c r="Q120" s="7">
        <v>-18.25</v>
      </c>
      <c r="R120" s="8">
        <v>1700</v>
      </c>
      <c r="S120" s="1" t="s">
        <v>16</v>
      </c>
      <c r="T120" s="1">
        <v>1</v>
      </c>
      <c r="U120" s="1" t="s">
        <v>16</v>
      </c>
      <c r="V120" s="1">
        <v>275</v>
      </c>
      <c r="W120" s="2" t="s">
        <v>15</v>
      </c>
    </row>
    <row r="121" spans="1:23" ht="17" x14ac:dyDescent="0.2">
      <c r="A121" s="2" t="s">
        <v>15</v>
      </c>
      <c r="B121" s="4">
        <v>885500</v>
      </c>
      <c r="C121" s="4">
        <v>411875</v>
      </c>
      <c r="D121" s="4">
        <v>193728</v>
      </c>
      <c r="E121" s="1" t="s">
        <v>16</v>
      </c>
      <c r="F121" s="2">
        <v>1.4</v>
      </c>
      <c r="G121" s="7">
        <v>-1.5</v>
      </c>
      <c r="H121" s="4">
        <v>14550</v>
      </c>
      <c r="I121" s="1">
        <v>1.35</v>
      </c>
      <c r="J121" s="1">
        <v>1.4</v>
      </c>
      <c r="K121" s="4">
        <v>5625</v>
      </c>
      <c r="L121" s="2">
        <v>32000</v>
      </c>
      <c r="M121" s="1">
        <v>25</v>
      </c>
      <c r="N121" s="5">
        <v>1677.65</v>
      </c>
      <c r="O121" s="5">
        <v>1697.65</v>
      </c>
      <c r="P121" s="1">
        <v>50</v>
      </c>
      <c r="Q121" s="7">
        <v>-489.05</v>
      </c>
      <c r="R121" s="8">
        <v>1655.05</v>
      </c>
      <c r="S121" s="1" t="s">
        <v>16</v>
      </c>
      <c r="T121" s="1">
        <v>79</v>
      </c>
      <c r="U121" s="1">
        <v>-625</v>
      </c>
      <c r="V121" s="4">
        <v>3975</v>
      </c>
      <c r="W121" s="2" t="s">
        <v>15</v>
      </c>
    </row>
    <row r="122" spans="1:23" ht="17" x14ac:dyDescent="0.2">
      <c r="A122" s="2" t="s">
        <v>15</v>
      </c>
      <c r="B122" s="4">
        <v>35400</v>
      </c>
      <c r="C122" s="4">
        <v>16800</v>
      </c>
      <c r="D122" s="4">
        <v>3687</v>
      </c>
      <c r="E122" s="1" t="s">
        <v>16</v>
      </c>
      <c r="F122" s="2">
        <v>1.1499999999999999</v>
      </c>
      <c r="G122" s="7">
        <v>-1.6</v>
      </c>
      <c r="H122" s="1">
        <v>400</v>
      </c>
      <c r="I122" s="1">
        <v>1.2</v>
      </c>
      <c r="J122" s="1">
        <v>1.4</v>
      </c>
      <c r="K122" s="1">
        <v>275</v>
      </c>
      <c r="L122" s="2">
        <v>32100</v>
      </c>
      <c r="M122" s="1">
        <v>625</v>
      </c>
      <c r="N122" s="5">
        <v>1640.9</v>
      </c>
      <c r="O122" s="5">
        <v>1874.6</v>
      </c>
      <c r="P122" s="1">
        <v>625</v>
      </c>
      <c r="Q122" s="3" t="s">
        <v>16</v>
      </c>
      <c r="R122" s="1" t="s">
        <v>16</v>
      </c>
      <c r="S122" s="1" t="s">
        <v>16</v>
      </c>
      <c r="T122" s="1" t="s">
        <v>16</v>
      </c>
      <c r="U122" s="1" t="s">
        <v>16</v>
      </c>
      <c r="V122" s="1">
        <v>200</v>
      </c>
      <c r="W122" s="2" t="s">
        <v>15</v>
      </c>
    </row>
    <row r="123" spans="1:23" ht="17" x14ac:dyDescent="0.2">
      <c r="A123" s="2" t="s">
        <v>15</v>
      </c>
      <c r="B123" s="4">
        <v>33500</v>
      </c>
      <c r="C123" s="4">
        <v>15150</v>
      </c>
      <c r="D123" s="4">
        <v>3389</v>
      </c>
      <c r="E123" s="1" t="s">
        <v>16</v>
      </c>
      <c r="F123" s="2">
        <v>1.2</v>
      </c>
      <c r="G123" s="7">
        <v>-1.5</v>
      </c>
      <c r="H123" s="1">
        <v>50</v>
      </c>
      <c r="I123" s="1">
        <v>1.2</v>
      </c>
      <c r="J123" s="1">
        <v>1.4</v>
      </c>
      <c r="K123" s="1">
        <v>350</v>
      </c>
      <c r="L123" s="2">
        <v>32200</v>
      </c>
      <c r="M123" s="1">
        <v>625</v>
      </c>
      <c r="N123" s="5">
        <v>1741.4</v>
      </c>
      <c r="O123" s="5">
        <v>1979.75</v>
      </c>
      <c r="P123" s="1">
        <v>625</v>
      </c>
      <c r="Q123" s="3" t="s">
        <v>16</v>
      </c>
      <c r="R123" s="1" t="s">
        <v>16</v>
      </c>
      <c r="S123" s="1" t="s">
        <v>16</v>
      </c>
      <c r="T123" s="1" t="s">
        <v>16</v>
      </c>
      <c r="U123" s="1" t="s">
        <v>16</v>
      </c>
      <c r="V123" s="1" t="s">
        <v>16</v>
      </c>
      <c r="W123" s="2" t="s">
        <v>15</v>
      </c>
    </row>
    <row r="124" spans="1:23" ht="17" x14ac:dyDescent="0.2">
      <c r="A124" s="2" t="s">
        <v>15</v>
      </c>
      <c r="B124" s="4">
        <v>14325</v>
      </c>
      <c r="C124" s="4">
        <v>1225</v>
      </c>
      <c r="D124" s="4">
        <v>2267</v>
      </c>
      <c r="E124" s="1" t="s">
        <v>16</v>
      </c>
      <c r="F124" s="2">
        <v>1.1000000000000001</v>
      </c>
      <c r="G124" s="7">
        <v>-1.75</v>
      </c>
      <c r="H124" s="1">
        <v>150</v>
      </c>
      <c r="I124" s="1">
        <v>1.1000000000000001</v>
      </c>
      <c r="J124" s="1">
        <v>1.25</v>
      </c>
      <c r="K124" s="1">
        <v>200</v>
      </c>
      <c r="L124" s="2">
        <v>32300</v>
      </c>
      <c r="M124" s="1">
        <v>625</v>
      </c>
      <c r="N124" s="5">
        <v>1840.7</v>
      </c>
      <c r="O124" s="5">
        <v>2078.9</v>
      </c>
      <c r="P124" s="1">
        <v>625</v>
      </c>
      <c r="Q124" s="3" t="s">
        <v>16</v>
      </c>
      <c r="R124" s="1" t="s">
        <v>16</v>
      </c>
      <c r="S124" s="1" t="s">
        <v>16</v>
      </c>
      <c r="T124" s="1" t="s">
        <v>16</v>
      </c>
      <c r="U124" s="1" t="s">
        <v>16</v>
      </c>
      <c r="V124" s="1">
        <v>25</v>
      </c>
      <c r="W124" s="2" t="s">
        <v>15</v>
      </c>
    </row>
    <row r="125" spans="1:23" ht="17" x14ac:dyDescent="0.2">
      <c r="A125" s="2" t="s">
        <v>15</v>
      </c>
      <c r="B125" s="4">
        <v>11025</v>
      </c>
      <c r="C125" s="4">
        <v>2825</v>
      </c>
      <c r="D125" s="4">
        <v>1355</v>
      </c>
      <c r="E125" s="1" t="s">
        <v>16</v>
      </c>
      <c r="F125" s="2">
        <v>1.1000000000000001</v>
      </c>
      <c r="G125" s="7">
        <v>-1.6</v>
      </c>
      <c r="H125" s="1">
        <v>150</v>
      </c>
      <c r="I125" s="1">
        <v>1.1000000000000001</v>
      </c>
      <c r="J125" s="1">
        <v>1.25</v>
      </c>
      <c r="K125" s="1">
        <v>175</v>
      </c>
      <c r="L125" s="2">
        <v>32400</v>
      </c>
      <c r="M125" s="1">
        <v>625</v>
      </c>
      <c r="N125" s="5">
        <v>1939.95</v>
      </c>
      <c r="O125" s="5">
        <v>2179.15</v>
      </c>
      <c r="P125" s="1">
        <v>625</v>
      </c>
      <c r="Q125" s="3" t="s">
        <v>16</v>
      </c>
      <c r="R125" s="1" t="s">
        <v>16</v>
      </c>
      <c r="S125" s="1" t="s">
        <v>16</v>
      </c>
      <c r="T125" s="1" t="s">
        <v>16</v>
      </c>
      <c r="U125" s="1" t="s">
        <v>16</v>
      </c>
      <c r="V125" s="1">
        <v>50</v>
      </c>
      <c r="W125" s="2" t="s">
        <v>15</v>
      </c>
    </row>
    <row r="126" spans="1:23" ht="17" x14ac:dyDescent="0.2">
      <c r="A126" s="2" t="s">
        <v>15</v>
      </c>
      <c r="B126" s="4">
        <v>288225</v>
      </c>
      <c r="C126" s="4">
        <v>69600</v>
      </c>
      <c r="D126" s="4">
        <v>34048</v>
      </c>
      <c r="E126" s="1" t="s">
        <v>16</v>
      </c>
      <c r="F126" s="2">
        <v>1.1000000000000001</v>
      </c>
      <c r="G126" s="7">
        <v>-1.5</v>
      </c>
      <c r="H126" s="4">
        <v>1450</v>
      </c>
      <c r="I126" s="1">
        <v>1.1000000000000001</v>
      </c>
      <c r="J126" s="1">
        <v>1.2</v>
      </c>
      <c r="K126" s="1">
        <v>50</v>
      </c>
      <c r="L126" s="2">
        <v>32500</v>
      </c>
      <c r="M126" s="1">
        <v>625</v>
      </c>
      <c r="N126" s="5">
        <v>2092.5500000000002</v>
      </c>
      <c r="O126" s="5">
        <v>2210.0500000000002</v>
      </c>
      <c r="P126" s="1">
        <v>125</v>
      </c>
      <c r="Q126" s="7">
        <v>-444</v>
      </c>
      <c r="R126" s="8">
        <v>2200</v>
      </c>
      <c r="S126" s="1" t="s">
        <v>16</v>
      </c>
      <c r="T126" s="1">
        <v>4</v>
      </c>
      <c r="U126" s="1">
        <v>-25</v>
      </c>
      <c r="V126" s="4">
        <v>2675</v>
      </c>
      <c r="W126" s="2" t="s">
        <v>15</v>
      </c>
    </row>
    <row r="127" spans="1:23" ht="17" x14ac:dyDescent="0.2">
      <c r="A127" s="2" t="s">
        <v>15</v>
      </c>
      <c r="B127" s="4">
        <v>10375</v>
      </c>
      <c r="C127" s="4">
        <v>2250</v>
      </c>
      <c r="D127" s="4">
        <v>1082</v>
      </c>
      <c r="E127" s="1" t="s">
        <v>16</v>
      </c>
      <c r="F127" s="2">
        <v>1.4</v>
      </c>
      <c r="G127" s="7">
        <v>-1</v>
      </c>
      <c r="H127" s="1">
        <v>50</v>
      </c>
      <c r="I127" s="1">
        <v>1.05</v>
      </c>
      <c r="J127" s="1">
        <v>1.3</v>
      </c>
      <c r="K127" s="1">
        <v>25</v>
      </c>
      <c r="L127" s="2">
        <v>32600</v>
      </c>
      <c r="M127" s="1">
        <v>625</v>
      </c>
      <c r="N127" s="5">
        <v>2140.1</v>
      </c>
      <c r="O127" s="5">
        <v>2389.5</v>
      </c>
      <c r="P127" s="1">
        <v>625</v>
      </c>
      <c r="Q127" s="3" t="s">
        <v>16</v>
      </c>
      <c r="R127" s="1" t="s">
        <v>16</v>
      </c>
      <c r="S127" s="1" t="s">
        <v>16</v>
      </c>
      <c r="T127" s="1" t="s">
        <v>16</v>
      </c>
      <c r="U127" s="1" t="s">
        <v>16</v>
      </c>
      <c r="V127" s="1" t="s">
        <v>16</v>
      </c>
      <c r="W127" s="2" t="s">
        <v>15</v>
      </c>
    </row>
    <row r="128" spans="1:23" ht="17" x14ac:dyDescent="0.2">
      <c r="A128" s="2" t="s">
        <v>15</v>
      </c>
      <c r="B128" s="4">
        <v>7150</v>
      </c>
      <c r="C128" s="1">
        <v>550</v>
      </c>
      <c r="D128" s="1">
        <v>666</v>
      </c>
      <c r="E128" s="1" t="s">
        <v>16</v>
      </c>
      <c r="F128" s="2">
        <v>0.85</v>
      </c>
      <c r="G128" s="7">
        <v>-1.4</v>
      </c>
      <c r="H128" s="4">
        <v>1500</v>
      </c>
      <c r="I128" s="1">
        <v>0.9</v>
      </c>
      <c r="J128" s="1">
        <v>1.3</v>
      </c>
      <c r="K128" s="1">
        <v>200</v>
      </c>
      <c r="L128" s="2">
        <v>32700</v>
      </c>
      <c r="M128" s="1">
        <v>625</v>
      </c>
      <c r="N128" s="5">
        <v>2240.1</v>
      </c>
      <c r="O128" s="5">
        <v>2489.9499999999998</v>
      </c>
      <c r="P128" s="1">
        <v>625</v>
      </c>
      <c r="Q128" s="3" t="s">
        <v>16</v>
      </c>
      <c r="R128" s="1" t="s">
        <v>16</v>
      </c>
      <c r="S128" s="1" t="s">
        <v>16</v>
      </c>
      <c r="T128" s="1" t="s">
        <v>16</v>
      </c>
      <c r="U128" s="1" t="s">
        <v>16</v>
      </c>
      <c r="V128" s="1" t="s">
        <v>16</v>
      </c>
      <c r="W128" s="2" t="s">
        <v>15</v>
      </c>
    </row>
    <row r="129" spans="1:23" ht="17" x14ac:dyDescent="0.2">
      <c r="A129" s="2" t="s">
        <v>15</v>
      </c>
      <c r="B129" s="4">
        <v>37475</v>
      </c>
      <c r="C129" s="4">
        <v>5925</v>
      </c>
      <c r="D129" s="4">
        <v>2312</v>
      </c>
      <c r="E129" s="1" t="s">
        <v>16</v>
      </c>
      <c r="F129" s="2">
        <v>1.2</v>
      </c>
      <c r="G129" s="7">
        <v>-1.2</v>
      </c>
      <c r="H129" s="1">
        <v>500</v>
      </c>
      <c r="I129" s="1">
        <v>0.85</v>
      </c>
      <c r="J129" s="1">
        <v>1.2</v>
      </c>
      <c r="K129" s="1">
        <v>625</v>
      </c>
      <c r="L129" s="2">
        <v>32800</v>
      </c>
      <c r="M129" s="1">
        <v>625</v>
      </c>
      <c r="N129" s="5">
        <v>2339.6</v>
      </c>
      <c r="O129" s="5">
        <v>2589</v>
      </c>
      <c r="P129" s="1">
        <v>625</v>
      </c>
      <c r="Q129" s="3" t="s">
        <v>16</v>
      </c>
      <c r="R129" s="1" t="s">
        <v>16</v>
      </c>
      <c r="S129" s="1" t="s">
        <v>16</v>
      </c>
      <c r="T129" s="1" t="s">
        <v>16</v>
      </c>
      <c r="U129" s="1" t="s">
        <v>16</v>
      </c>
      <c r="V129" s="1">
        <v>50</v>
      </c>
      <c r="W129" s="2" t="s">
        <v>15</v>
      </c>
    </row>
    <row r="130" spans="1:23" ht="17" x14ac:dyDescent="0.2">
      <c r="A130" s="2" t="s">
        <v>15</v>
      </c>
      <c r="B130" s="4">
        <v>11175</v>
      </c>
      <c r="C130" s="4">
        <v>1500</v>
      </c>
      <c r="D130" s="1">
        <v>652</v>
      </c>
      <c r="E130" s="1" t="s">
        <v>16</v>
      </c>
      <c r="F130" s="2">
        <v>1</v>
      </c>
      <c r="G130" s="7">
        <v>-1.1499999999999999</v>
      </c>
      <c r="H130" s="1">
        <v>150</v>
      </c>
      <c r="I130" s="1">
        <v>1</v>
      </c>
      <c r="J130" s="1">
        <v>1.35</v>
      </c>
      <c r="K130" s="1">
        <v>400</v>
      </c>
      <c r="L130" s="2">
        <v>32900</v>
      </c>
      <c r="M130" s="1">
        <v>625</v>
      </c>
      <c r="N130" s="5">
        <v>2439.3000000000002</v>
      </c>
      <c r="O130" s="5">
        <v>2690.3</v>
      </c>
      <c r="P130" s="1">
        <v>625</v>
      </c>
      <c r="Q130" s="3" t="s">
        <v>16</v>
      </c>
      <c r="R130" s="1" t="s">
        <v>16</v>
      </c>
      <c r="S130" s="1" t="s">
        <v>16</v>
      </c>
      <c r="T130" s="1" t="s">
        <v>16</v>
      </c>
      <c r="U130" s="1" t="s">
        <v>16</v>
      </c>
      <c r="V130" s="1" t="s">
        <v>16</v>
      </c>
      <c r="W130" s="2" t="s">
        <v>15</v>
      </c>
    </row>
    <row r="131" spans="1:23" ht="17" x14ac:dyDescent="0.2">
      <c r="A131" s="2" t="s">
        <v>15</v>
      </c>
      <c r="B131" s="4">
        <v>224650</v>
      </c>
      <c r="C131" s="4">
        <v>-33900</v>
      </c>
      <c r="D131" s="4">
        <v>26776</v>
      </c>
      <c r="E131" s="1" t="s">
        <v>16</v>
      </c>
      <c r="F131" s="2">
        <v>1.1000000000000001</v>
      </c>
      <c r="G131" s="7">
        <v>-1.1000000000000001</v>
      </c>
      <c r="H131" s="1">
        <v>325</v>
      </c>
      <c r="I131" s="1">
        <v>1.05</v>
      </c>
      <c r="J131" s="1">
        <v>1.1499999999999999</v>
      </c>
      <c r="K131" s="1">
        <v>350</v>
      </c>
      <c r="L131" s="2">
        <v>33000</v>
      </c>
      <c r="M131" s="1">
        <v>125</v>
      </c>
      <c r="N131" s="5">
        <v>2621.85</v>
      </c>
      <c r="O131" s="5">
        <v>2776.15</v>
      </c>
      <c r="P131" s="1">
        <v>625</v>
      </c>
      <c r="Q131" s="3" t="s">
        <v>16</v>
      </c>
      <c r="R131" s="1" t="s">
        <v>16</v>
      </c>
      <c r="S131" s="1" t="s">
        <v>16</v>
      </c>
      <c r="T131" s="1" t="s">
        <v>16</v>
      </c>
      <c r="U131" s="1" t="s">
        <v>16</v>
      </c>
      <c r="V131" s="1">
        <v>25</v>
      </c>
      <c r="W131" s="2" t="s">
        <v>15</v>
      </c>
    </row>
    <row r="132" spans="1:23" ht="17" x14ac:dyDescent="0.2">
      <c r="A132" s="2" t="s">
        <v>15</v>
      </c>
      <c r="B132" s="4">
        <v>6175</v>
      </c>
      <c r="C132" s="1">
        <v>525</v>
      </c>
      <c r="D132" s="1">
        <v>316</v>
      </c>
      <c r="E132" s="1" t="s">
        <v>16</v>
      </c>
      <c r="F132" s="2">
        <v>0.95</v>
      </c>
      <c r="G132" s="7">
        <v>-1.05</v>
      </c>
      <c r="H132" s="1">
        <v>50</v>
      </c>
      <c r="I132" s="1">
        <v>0.95</v>
      </c>
      <c r="J132" s="1">
        <v>1.25</v>
      </c>
      <c r="K132" s="1">
        <v>600</v>
      </c>
      <c r="L132" s="2">
        <v>33100</v>
      </c>
      <c r="M132" s="1">
        <v>625</v>
      </c>
      <c r="N132" s="5">
        <v>2638.95</v>
      </c>
      <c r="O132" s="5">
        <v>2890.3</v>
      </c>
      <c r="P132" s="1">
        <v>625</v>
      </c>
      <c r="Q132" s="3" t="s">
        <v>16</v>
      </c>
      <c r="R132" s="1" t="s">
        <v>16</v>
      </c>
      <c r="S132" s="1" t="s">
        <v>16</v>
      </c>
      <c r="T132" s="1" t="s">
        <v>16</v>
      </c>
      <c r="U132" s="1" t="s">
        <v>16</v>
      </c>
      <c r="V132" s="1" t="s">
        <v>16</v>
      </c>
      <c r="W132" s="2" t="s">
        <v>15</v>
      </c>
    </row>
    <row r="133" spans="1:23" ht="17" x14ac:dyDescent="0.2">
      <c r="A133" s="2" t="s">
        <v>15</v>
      </c>
      <c r="B133" s="4">
        <v>7075</v>
      </c>
      <c r="C133" s="4">
        <v>4500</v>
      </c>
      <c r="D133" s="1">
        <v>462</v>
      </c>
      <c r="E133" s="1" t="s">
        <v>16</v>
      </c>
      <c r="F133" s="2">
        <v>1.05</v>
      </c>
      <c r="G133" s="7">
        <v>-0.95</v>
      </c>
      <c r="H133" s="1">
        <v>50</v>
      </c>
      <c r="I133" s="1">
        <v>1</v>
      </c>
      <c r="J133" s="1">
        <v>1.25</v>
      </c>
      <c r="K133" s="1">
        <v>50</v>
      </c>
      <c r="L133" s="2">
        <v>33200</v>
      </c>
      <c r="M133" s="1">
        <v>625</v>
      </c>
      <c r="N133" s="5">
        <v>2738.75</v>
      </c>
      <c r="O133" s="5">
        <v>2989.75</v>
      </c>
      <c r="P133" s="1">
        <v>625</v>
      </c>
      <c r="Q133" s="3" t="s">
        <v>16</v>
      </c>
      <c r="R133" s="1" t="s">
        <v>16</v>
      </c>
      <c r="S133" s="1" t="s">
        <v>16</v>
      </c>
      <c r="T133" s="1" t="s">
        <v>16</v>
      </c>
      <c r="U133" s="1" t="s">
        <v>16</v>
      </c>
      <c r="V133" s="1" t="s">
        <v>16</v>
      </c>
      <c r="W133" s="2" t="s">
        <v>15</v>
      </c>
    </row>
    <row r="134" spans="1:23" ht="17" x14ac:dyDescent="0.2">
      <c r="A134" s="2" t="s">
        <v>15</v>
      </c>
      <c r="B134" s="4">
        <v>4475</v>
      </c>
      <c r="C134" s="4">
        <v>1225</v>
      </c>
      <c r="D134" s="1">
        <v>474</v>
      </c>
      <c r="E134" s="1" t="s">
        <v>16</v>
      </c>
      <c r="F134" s="2">
        <v>0.9</v>
      </c>
      <c r="G134" s="7">
        <v>-0.7</v>
      </c>
      <c r="H134" s="1">
        <v>50</v>
      </c>
      <c r="I134" s="1">
        <v>0.9</v>
      </c>
      <c r="J134" s="1">
        <v>1.1000000000000001</v>
      </c>
      <c r="K134" s="1">
        <v>750</v>
      </c>
      <c r="L134" s="2">
        <v>33300</v>
      </c>
      <c r="M134" s="1">
        <v>625</v>
      </c>
      <c r="N134" s="5">
        <v>2839.5</v>
      </c>
      <c r="O134" s="5">
        <v>3090.5</v>
      </c>
      <c r="P134" s="1">
        <v>625</v>
      </c>
      <c r="Q134" s="3" t="s">
        <v>16</v>
      </c>
      <c r="R134" s="1" t="s">
        <v>16</v>
      </c>
      <c r="S134" s="1" t="s">
        <v>16</v>
      </c>
      <c r="T134" s="1" t="s">
        <v>16</v>
      </c>
      <c r="U134" s="1" t="s">
        <v>16</v>
      </c>
      <c r="V134" s="1" t="s">
        <v>16</v>
      </c>
      <c r="W134" s="2" t="s">
        <v>15</v>
      </c>
    </row>
    <row r="135" spans="1:23" ht="17" x14ac:dyDescent="0.2">
      <c r="A135" s="2" t="s">
        <v>15</v>
      </c>
      <c r="B135" s="4">
        <v>2800</v>
      </c>
      <c r="C135" s="1">
        <v>225</v>
      </c>
      <c r="D135" s="1">
        <v>323</v>
      </c>
      <c r="E135" s="1" t="s">
        <v>16</v>
      </c>
      <c r="F135" s="2">
        <v>1.2</v>
      </c>
      <c r="G135" s="7">
        <v>-0.45</v>
      </c>
      <c r="H135" s="1">
        <v>50</v>
      </c>
      <c r="I135" s="1">
        <v>0.8</v>
      </c>
      <c r="J135" s="1">
        <v>1.2</v>
      </c>
      <c r="K135" s="1">
        <v>25</v>
      </c>
      <c r="L135" s="2">
        <v>33400</v>
      </c>
      <c r="M135" s="1">
        <v>625</v>
      </c>
      <c r="N135" s="5">
        <v>2939.55</v>
      </c>
      <c r="O135" s="5">
        <v>3191.4</v>
      </c>
      <c r="P135" s="1">
        <v>625</v>
      </c>
      <c r="Q135" s="3" t="s">
        <v>16</v>
      </c>
      <c r="R135" s="1" t="s">
        <v>16</v>
      </c>
      <c r="S135" s="1" t="s">
        <v>16</v>
      </c>
      <c r="T135" s="1" t="s">
        <v>16</v>
      </c>
      <c r="U135" s="1" t="s">
        <v>16</v>
      </c>
      <c r="V135" s="1">
        <v>25</v>
      </c>
      <c r="W135" s="2" t="s">
        <v>15</v>
      </c>
    </row>
    <row r="136" spans="1:23" ht="17" x14ac:dyDescent="0.2">
      <c r="A136" s="2" t="s">
        <v>15</v>
      </c>
      <c r="B136" s="4">
        <v>353675</v>
      </c>
      <c r="C136" s="4">
        <v>89350</v>
      </c>
      <c r="D136" s="4">
        <v>32003</v>
      </c>
      <c r="E136" s="1" t="s">
        <v>16</v>
      </c>
      <c r="F136" s="2">
        <v>1</v>
      </c>
      <c r="G136" s="7">
        <v>-0.7</v>
      </c>
      <c r="H136" s="4">
        <v>1900</v>
      </c>
      <c r="I136" s="1">
        <v>0.9</v>
      </c>
      <c r="J136" s="1">
        <v>1</v>
      </c>
      <c r="K136" s="1">
        <v>275</v>
      </c>
      <c r="L136" s="2">
        <v>33500</v>
      </c>
      <c r="M136" s="1">
        <v>250</v>
      </c>
      <c r="N136" s="5">
        <v>3119.55</v>
      </c>
      <c r="O136" s="5">
        <v>3251.7</v>
      </c>
      <c r="P136" s="1">
        <v>625</v>
      </c>
      <c r="Q136" s="3" t="s">
        <v>16</v>
      </c>
      <c r="R136" s="1" t="s">
        <v>16</v>
      </c>
      <c r="S136" s="1" t="s">
        <v>16</v>
      </c>
      <c r="T136" s="1" t="s">
        <v>16</v>
      </c>
      <c r="U136" s="1" t="s">
        <v>16</v>
      </c>
      <c r="V136" s="1">
        <v>325</v>
      </c>
      <c r="W136" s="2" t="s">
        <v>15</v>
      </c>
    </row>
    <row r="137" spans="1:23" ht="17" x14ac:dyDescent="0.2">
      <c r="A137" s="2" t="s">
        <v>15</v>
      </c>
      <c r="B137" s="4">
        <v>12700</v>
      </c>
      <c r="C137" s="4">
        <v>4600</v>
      </c>
      <c r="D137" s="1">
        <v>969</v>
      </c>
      <c r="E137" s="1" t="s">
        <v>16</v>
      </c>
      <c r="F137" s="2">
        <v>1</v>
      </c>
      <c r="G137" s="7">
        <v>-0.75</v>
      </c>
      <c r="H137" s="1">
        <v>50</v>
      </c>
      <c r="I137" s="1">
        <v>0.9</v>
      </c>
      <c r="J137" s="1">
        <v>1.1499999999999999</v>
      </c>
      <c r="K137" s="1">
        <v>75</v>
      </c>
      <c r="L137" s="2">
        <v>33600</v>
      </c>
      <c r="M137" s="1">
        <v>625</v>
      </c>
      <c r="N137" s="5">
        <v>2496.5</v>
      </c>
      <c r="O137" s="5">
        <v>3461.3</v>
      </c>
      <c r="P137" s="1">
        <v>625</v>
      </c>
      <c r="Q137" s="3" t="s">
        <v>16</v>
      </c>
      <c r="R137" s="1" t="s">
        <v>16</v>
      </c>
      <c r="S137" s="1" t="s">
        <v>16</v>
      </c>
      <c r="T137" s="1" t="s">
        <v>16</v>
      </c>
      <c r="U137" s="1" t="s">
        <v>16</v>
      </c>
      <c r="V137" s="1" t="s">
        <v>16</v>
      </c>
      <c r="W137" s="2" t="s">
        <v>15</v>
      </c>
    </row>
    <row r="138" spans="1:23" ht="17" x14ac:dyDescent="0.2">
      <c r="A138" s="2" t="s">
        <v>15</v>
      </c>
      <c r="B138" s="4">
        <v>43250</v>
      </c>
      <c r="C138" s="1">
        <v>-550</v>
      </c>
      <c r="D138" s="4">
        <v>3107</v>
      </c>
      <c r="E138" s="1" t="s">
        <v>16</v>
      </c>
      <c r="F138" s="2">
        <v>0.9</v>
      </c>
      <c r="G138" s="7">
        <v>-0.35</v>
      </c>
      <c r="H138" s="1">
        <v>50</v>
      </c>
      <c r="I138" s="1">
        <v>0.9</v>
      </c>
      <c r="J138" s="1">
        <v>0.95</v>
      </c>
      <c r="K138" s="1">
        <v>100</v>
      </c>
      <c r="L138" s="2">
        <v>33700</v>
      </c>
      <c r="M138" s="1">
        <v>625</v>
      </c>
      <c r="N138" s="5">
        <v>3150.7</v>
      </c>
      <c r="O138" s="5">
        <v>3561.8</v>
      </c>
      <c r="P138" s="1">
        <v>625</v>
      </c>
      <c r="Q138" s="3" t="s">
        <v>16</v>
      </c>
      <c r="R138" s="1" t="s">
        <v>16</v>
      </c>
      <c r="S138" s="1" t="s">
        <v>16</v>
      </c>
      <c r="T138" s="1" t="s">
        <v>16</v>
      </c>
      <c r="U138" s="1" t="s">
        <v>16</v>
      </c>
      <c r="V138" s="1" t="s">
        <v>16</v>
      </c>
      <c r="W138" s="2" t="s">
        <v>15</v>
      </c>
    </row>
    <row r="139" spans="1:23" ht="17" x14ac:dyDescent="0.2">
      <c r="A139" s="2" t="s">
        <v>15</v>
      </c>
      <c r="B139" s="4">
        <v>110850</v>
      </c>
      <c r="C139" s="4">
        <v>7925</v>
      </c>
      <c r="D139" s="4">
        <v>7264</v>
      </c>
      <c r="E139" s="1" t="s">
        <v>16</v>
      </c>
      <c r="F139" s="2">
        <v>0.8</v>
      </c>
      <c r="G139" s="7">
        <v>-0.8</v>
      </c>
      <c r="H139" s="4">
        <v>3000</v>
      </c>
      <c r="I139" s="1">
        <v>0.75</v>
      </c>
      <c r="J139" s="1">
        <v>0.8</v>
      </c>
      <c r="K139" s="1">
        <v>325</v>
      </c>
      <c r="L139" s="2">
        <v>33800</v>
      </c>
      <c r="M139" s="1">
        <v>625</v>
      </c>
      <c r="N139" s="5">
        <v>3363.65</v>
      </c>
      <c r="O139" s="5">
        <v>3605.2</v>
      </c>
      <c r="P139" s="1">
        <v>625</v>
      </c>
      <c r="Q139" s="3" t="s">
        <v>16</v>
      </c>
      <c r="R139" s="1" t="s">
        <v>16</v>
      </c>
      <c r="S139" s="1" t="s">
        <v>16</v>
      </c>
      <c r="T139" s="1" t="s">
        <v>16</v>
      </c>
      <c r="U139" s="1" t="s">
        <v>16</v>
      </c>
      <c r="V139" s="1">
        <v>25</v>
      </c>
      <c r="W139" s="2" t="s">
        <v>15</v>
      </c>
    </row>
    <row r="140" spans="1:23" x14ac:dyDescent="0.2">
      <c r="A140" s="10" t="s">
        <v>17</v>
      </c>
      <c r="B140" s="11">
        <v>16507900</v>
      </c>
      <c r="C140" s="10"/>
      <c r="D140" s="11">
        <v>8556664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11">
        <v>9122088</v>
      </c>
      <c r="U140" s="10"/>
      <c r="V140" s="11">
        <v>21718650</v>
      </c>
      <c r="W140" s="10" t="s">
        <v>17</v>
      </c>
    </row>
    <row r="142" spans="1:23" ht="17" x14ac:dyDescent="0.2">
      <c r="A142" s="12" t="s">
        <v>18</v>
      </c>
    </row>
  </sheetData>
  <mergeCells count="20">
    <mergeCell ref="L8:L9"/>
    <mergeCell ref="Q8:Q9"/>
    <mergeCell ref="R8:R9"/>
    <mergeCell ref="S8:S9"/>
    <mergeCell ref="E140:S140"/>
    <mergeCell ref="A1:A2"/>
    <mergeCell ref="B1:B2"/>
    <mergeCell ref="A7:K7"/>
    <mergeCell ref="M7:W7"/>
    <mergeCell ref="A8:A9"/>
    <mergeCell ref="B8:B9"/>
    <mergeCell ref="C8:C9"/>
    <mergeCell ref="D8:D9"/>
    <mergeCell ref="E8:E9"/>
    <mergeCell ref="F8:F9"/>
    <mergeCell ref="U8:U9"/>
    <mergeCell ref="V8:V9"/>
    <mergeCell ref="W8:W9"/>
    <mergeCell ref="T8:T9"/>
    <mergeCell ref="G8:G9"/>
  </mergeCells>
  <hyperlinks>
    <hyperlink ref="A10" r:id="rId1" display="javascript:chartPopup('BANKNIFTY', 'OPTIDX', '24DEC2020', '20900.00','CE','NIFTY PSE');" xr:uid="{06601490-18C4-024B-83B7-7A8597962077}"/>
    <hyperlink ref="F10" r:id="rId2" display="/live_market/dynaContent/live_watch/get_quote/GetQuoteFO.jsp?underlying=BANKNIFTY&amp;instrument=OPTIDX&amp;strike=20900.00&amp;type=CE&amp;expiry=24DEC2020" xr:uid="{B8145A75-C672-134D-A0BB-92E1FA1D48CE}"/>
    <hyperlink ref="L10" r:id="rId3" display="/live_market/dynaContent/live_watch/option_chain/optionDates.jsp?symbol=BANKNIFTY&amp;instrument=OPTIDX&amp;strike=20900.00" xr:uid="{5AD34744-D968-7441-9108-3D30F845C221}"/>
    <hyperlink ref="R10" r:id="rId4" display="/live_market/dynaContent/live_watch/get_quote/GetQuoteFO.jsp?underlying=BANKNIFTY&amp;instrument=OPTIDX&amp;strike=20900.00&amp;type=PE&amp;expiry=24DEC2020" xr:uid="{67C48B20-A91E-E044-8C49-E79ADAD2833D}"/>
    <hyperlink ref="W10" r:id="rId5" display="javascript:chartPopup('BANKNIFTY', 'OPTIDX', '24DEC2020', '20900.00','PE','NIFTY PSE');" xr:uid="{14D09D09-3660-964A-9412-8AE828431891}"/>
    <hyperlink ref="A11" r:id="rId6" display="javascript:chartPopup('BANKNIFTY', 'OPTIDX', '24DEC2020', '21000.00','CE','NIFTY PSE');" xr:uid="{33439D2A-9948-224C-9060-56CAE6746102}"/>
    <hyperlink ref="L11" r:id="rId7" display="/live_market/dynaContent/live_watch/option_chain/optionDates.jsp?symbol=BANKNIFTY&amp;instrument=OPTIDX&amp;strike=21000.00" xr:uid="{6F74541D-2623-164D-B36E-E5B3B9ACD63A}"/>
    <hyperlink ref="R11" r:id="rId8" display="/live_market/dynaContent/live_watch/get_quote/GetQuoteFO.jsp?underlying=BANKNIFTY&amp;instrument=OPTIDX&amp;strike=21000.00&amp;type=PE&amp;expiry=24DEC2020" xr:uid="{9BDB5330-DC03-6F40-9961-2B852BFE446B}"/>
    <hyperlink ref="W11" r:id="rId9" display="javascript:chartPopup('BANKNIFTY', 'OPTIDX', '24DEC2020', '21000.00','PE','NIFTY PSE');" xr:uid="{02F343E4-B427-2140-9966-BD0AD9C98804}"/>
    <hyperlink ref="A12" r:id="rId10" display="javascript:chartPopup('BANKNIFTY', 'OPTIDX', '24DEC2020', '21100.00','CE','NIFTY PSE');" xr:uid="{1C31E0E4-D6DE-3B45-8E55-A598EBEDC18C}"/>
    <hyperlink ref="L12" r:id="rId11" display="/live_market/dynaContent/live_watch/option_chain/optionDates.jsp?symbol=BANKNIFTY&amp;instrument=OPTIDX&amp;strike=21100.00" xr:uid="{DCA33D06-083F-2049-8C0E-27BD0158749F}"/>
    <hyperlink ref="R12" r:id="rId12" display="/live_market/dynaContent/live_watch/get_quote/GetQuoteFO.jsp?underlying=BANKNIFTY&amp;instrument=OPTIDX&amp;strike=21100.00&amp;type=PE&amp;expiry=24DEC2020" xr:uid="{EE06107F-FEDC-0540-BD40-8ADE4E1DAAC8}"/>
    <hyperlink ref="W12" r:id="rId13" display="javascript:chartPopup('BANKNIFTY', 'OPTIDX', '24DEC2020', '21100.00','PE','NIFTY PSE');" xr:uid="{36C9DE8E-90BA-7A48-85D4-74C5905A52F1}"/>
    <hyperlink ref="A13" r:id="rId14" display="javascript:chartPopup('BANKNIFTY', 'OPTIDX', '24DEC2020', '21200.00','CE','NIFTY PSE');" xr:uid="{07166873-2A8B-654C-B47C-832F29C64981}"/>
    <hyperlink ref="L13" r:id="rId15" display="/live_market/dynaContent/live_watch/option_chain/optionDates.jsp?symbol=BANKNIFTY&amp;instrument=OPTIDX&amp;strike=21200.00" xr:uid="{990D8D8A-2472-1147-AE3A-8C3DCF778A58}"/>
    <hyperlink ref="R13" r:id="rId16" display="/live_market/dynaContent/live_watch/get_quote/GetQuoteFO.jsp?underlying=BANKNIFTY&amp;instrument=OPTIDX&amp;strike=21200.00&amp;type=PE&amp;expiry=24DEC2020" xr:uid="{791E2F99-9809-004D-A9F3-0B0500D91893}"/>
    <hyperlink ref="W13" r:id="rId17" display="javascript:chartPopup('BANKNIFTY', 'OPTIDX', '24DEC2020', '21200.00','PE','NIFTY PSE');" xr:uid="{0307C8F9-015C-EB44-928F-1CF3240AD94E}"/>
    <hyperlink ref="A14" r:id="rId18" display="javascript:chartPopup('BANKNIFTY', 'OPTIDX', '24DEC2020', '21300.00','CE','NIFTY PSE');" xr:uid="{E6F16992-9F39-9546-9A0A-4D4EE6C13E77}"/>
    <hyperlink ref="L14" r:id="rId19" display="/live_market/dynaContent/live_watch/option_chain/optionDates.jsp?symbol=BANKNIFTY&amp;instrument=OPTIDX&amp;strike=21300.00" xr:uid="{DF5D1AD8-6A73-1649-8E8B-E1BB6DCC6120}"/>
    <hyperlink ref="W14" r:id="rId20" display="javascript:chartPopup('BANKNIFTY', 'OPTIDX', '24DEC2020', '21300.00','PE','NIFTY PSE');" xr:uid="{4FCDAA55-DABA-9544-A138-A5B0FB4BC051}"/>
    <hyperlink ref="A15" r:id="rId21" display="javascript:chartPopup('BANKNIFTY', 'OPTIDX', '24DEC2020', '21400.00','CE','NIFTY PSE');" xr:uid="{BA03899D-44CF-6141-8C98-352366858D2B}"/>
    <hyperlink ref="L15" r:id="rId22" display="/live_market/dynaContent/live_watch/option_chain/optionDates.jsp?symbol=BANKNIFTY&amp;instrument=OPTIDX&amp;strike=21400.00" xr:uid="{BE561AD7-3109-3844-9193-963EF12B6CE8}"/>
    <hyperlink ref="R15" r:id="rId23" display="/live_market/dynaContent/live_watch/get_quote/GetQuoteFO.jsp?underlying=BANKNIFTY&amp;instrument=OPTIDX&amp;strike=21400.00&amp;type=PE&amp;expiry=24DEC2020" xr:uid="{FA5F480C-A561-1546-BE59-4B6FC2A67FAB}"/>
    <hyperlink ref="W15" r:id="rId24" display="javascript:chartPopup('BANKNIFTY', 'OPTIDX', '24DEC2020', '21400.00','PE','NIFTY PSE');" xr:uid="{1AA4315F-C341-8243-85A9-AACC24605C61}"/>
    <hyperlink ref="A16" r:id="rId25" display="javascript:chartPopup('BANKNIFTY', 'OPTIDX', '24DEC2020', '21500.00','CE','NIFTY PSE');" xr:uid="{BDA1F4B0-5AF7-0144-964F-87651D6AD8FB}"/>
    <hyperlink ref="L16" r:id="rId26" display="/live_market/dynaContent/live_watch/option_chain/optionDates.jsp?symbol=BANKNIFTY&amp;instrument=OPTIDX&amp;strike=21500.00" xr:uid="{3F9587E3-355D-B24B-9FBD-2B7DADEC25A1}"/>
    <hyperlink ref="R16" r:id="rId27" display="/live_market/dynaContent/live_watch/get_quote/GetQuoteFO.jsp?underlying=BANKNIFTY&amp;instrument=OPTIDX&amp;strike=21500.00&amp;type=PE&amp;expiry=24DEC2020" xr:uid="{04594B27-4D5D-7943-8B49-532AAFA5C05A}"/>
    <hyperlink ref="W16" r:id="rId28" display="javascript:chartPopup('BANKNIFTY', 'OPTIDX', '24DEC2020', '21500.00','PE','NIFTY PSE');" xr:uid="{75D98820-5AA5-2F43-AA30-A23771B217E9}"/>
    <hyperlink ref="A17" r:id="rId29" display="javascript:chartPopup('BANKNIFTY', 'OPTIDX', '24DEC2020', '21600.00','CE','NIFTY PSE');" xr:uid="{C9C9BD67-9668-C043-9D04-4DBC350690E0}"/>
    <hyperlink ref="L17" r:id="rId30" display="/live_market/dynaContent/live_watch/option_chain/optionDates.jsp?symbol=BANKNIFTY&amp;instrument=OPTIDX&amp;strike=21600.00" xr:uid="{581D4C5C-3C9F-4644-9915-64EF5FB7BF1D}"/>
    <hyperlink ref="W17" r:id="rId31" display="javascript:chartPopup('BANKNIFTY', 'OPTIDX', '24DEC2020', '21600.00','PE','NIFTY PSE');" xr:uid="{AE501B51-2321-C343-8608-2DDFBB9CDB09}"/>
    <hyperlink ref="A18" r:id="rId32" display="javascript:chartPopup('BANKNIFTY', 'OPTIDX', '24DEC2020', '21700.00','CE','NIFTY PSE');" xr:uid="{8ED54AA5-4D07-CA48-9906-E32111E8C126}"/>
    <hyperlink ref="L18" r:id="rId33" display="/live_market/dynaContent/live_watch/option_chain/optionDates.jsp?symbol=BANKNIFTY&amp;instrument=OPTIDX&amp;strike=21700.00" xr:uid="{C3F97D64-9828-5341-B5CD-B72DDCC2D3EC}"/>
    <hyperlink ref="W18" r:id="rId34" display="javascript:chartPopup('BANKNIFTY', 'OPTIDX', '24DEC2020', '21700.00','PE','NIFTY PSE');" xr:uid="{33540E38-453B-3D4B-91FB-22D611BB1954}"/>
    <hyperlink ref="A19" r:id="rId35" display="javascript:chartPopup('BANKNIFTY', 'OPTIDX', '24DEC2020', '21800.00','CE','NIFTY PSE');" xr:uid="{742E573D-CD2C-CB4D-8DDA-767B691191AE}"/>
    <hyperlink ref="L19" r:id="rId36" display="/live_market/dynaContent/live_watch/option_chain/optionDates.jsp?symbol=BANKNIFTY&amp;instrument=OPTIDX&amp;strike=21800.00" xr:uid="{2D070628-02BD-A840-9497-F0145A3E9295}"/>
    <hyperlink ref="W19" r:id="rId37" display="javascript:chartPopup('BANKNIFTY', 'OPTIDX', '24DEC2020', '21800.00','PE','NIFTY PSE');" xr:uid="{783B21CE-4A26-3849-B902-E859F1FFE51A}"/>
    <hyperlink ref="A20" r:id="rId38" display="javascript:chartPopup('BANKNIFTY', 'OPTIDX', '24DEC2020', '21900.00','CE','NIFTY PSE');" xr:uid="{95E8FB43-3804-874F-A7B2-70434A61BD6B}"/>
    <hyperlink ref="L20" r:id="rId39" display="/live_market/dynaContent/live_watch/option_chain/optionDates.jsp?symbol=BANKNIFTY&amp;instrument=OPTIDX&amp;strike=21900.00" xr:uid="{6DFF18C8-7FCD-4B4E-8EDA-4234C71B9A74}"/>
    <hyperlink ref="W20" r:id="rId40" display="javascript:chartPopup('BANKNIFTY', 'OPTIDX', '24DEC2020', '21900.00','PE','NIFTY PSE');" xr:uid="{95A44732-92D8-8C45-8E97-4FAF2C91FAEB}"/>
    <hyperlink ref="A21" r:id="rId41" display="javascript:chartPopup('BANKNIFTY', 'OPTIDX', '24DEC2020', '22000.00','CE','NIFTY PSE');" xr:uid="{88AEE6ED-0C7F-AE47-946A-478672F68887}"/>
    <hyperlink ref="F21" r:id="rId42" display="/live_market/dynaContent/live_watch/get_quote/GetQuoteFO.jsp?underlying=BANKNIFTY&amp;instrument=OPTIDX&amp;strike=22000.00&amp;type=CE&amp;expiry=24DEC2020" xr:uid="{F061FEFE-3F72-6B40-B148-44481ED2C379}"/>
    <hyperlink ref="L21" r:id="rId43" display="/live_market/dynaContent/live_watch/option_chain/optionDates.jsp?symbol=BANKNIFTY&amp;instrument=OPTIDX&amp;strike=22000.00" xr:uid="{C9B05A19-5831-C541-A971-D032BF9E6767}"/>
    <hyperlink ref="R21" r:id="rId44" display="/live_market/dynaContent/live_watch/get_quote/GetQuoteFO.jsp?underlying=BANKNIFTY&amp;instrument=OPTIDX&amp;strike=22000.00&amp;type=PE&amp;expiry=24DEC2020" xr:uid="{F0D639A7-B698-624F-96F4-E14E1028FE73}"/>
    <hyperlink ref="W21" r:id="rId45" display="javascript:chartPopup('BANKNIFTY', 'OPTIDX', '24DEC2020', '22000.00','PE','NIFTY PSE');" xr:uid="{92478AD8-F72C-A14B-86A9-9497CC14E76A}"/>
    <hyperlink ref="A22" r:id="rId46" display="javascript:chartPopup('BANKNIFTY', 'OPTIDX', '24DEC2020', '22100.00','CE','NIFTY PSE');" xr:uid="{3B2D710E-1734-EE43-A03B-AE245C8A6D3A}"/>
    <hyperlink ref="L22" r:id="rId47" display="/live_market/dynaContent/live_watch/option_chain/optionDates.jsp?symbol=BANKNIFTY&amp;instrument=OPTIDX&amp;strike=22100.00" xr:uid="{EE31B353-3F96-584A-932B-A59894F16099}"/>
    <hyperlink ref="W22" r:id="rId48" display="javascript:chartPopup('BANKNIFTY', 'OPTIDX', '24DEC2020', '22100.00','PE','NIFTY PSE');" xr:uid="{4487334C-A94E-CD44-BBAE-D6C24AA71C61}"/>
    <hyperlink ref="A23" r:id="rId49" display="javascript:chartPopup('BANKNIFTY', 'OPTIDX', '24DEC2020', '22200.00','CE','NIFTY PSE');" xr:uid="{582F06E5-4D99-D849-9240-6471065A50F3}"/>
    <hyperlink ref="L23" r:id="rId50" display="/live_market/dynaContent/live_watch/option_chain/optionDates.jsp?symbol=BANKNIFTY&amp;instrument=OPTIDX&amp;strike=22200.00" xr:uid="{5D298586-9C21-A940-AB82-0D2C3F29D5C4}"/>
    <hyperlink ref="W23" r:id="rId51" display="javascript:chartPopup('BANKNIFTY', 'OPTIDX', '24DEC2020', '22200.00','PE','NIFTY PSE');" xr:uid="{C0D600A9-CA4A-3B47-B058-211927715C82}"/>
    <hyperlink ref="A24" r:id="rId52" display="javascript:chartPopup('BANKNIFTY', 'OPTIDX', '24DEC2020', '22300.00','CE','NIFTY PSE');" xr:uid="{90E47576-0DF6-524B-A064-5ACE60636BA6}"/>
    <hyperlink ref="L24" r:id="rId53" display="/live_market/dynaContent/live_watch/option_chain/optionDates.jsp?symbol=BANKNIFTY&amp;instrument=OPTIDX&amp;strike=22300.00" xr:uid="{81DB6EF4-4A12-5048-AEA0-0CCF62E13F41}"/>
    <hyperlink ref="W24" r:id="rId54" display="javascript:chartPopup('BANKNIFTY', 'OPTIDX', '24DEC2020', '22300.00','PE','NIFTY PSE');" xr:uid="{C9D75E42-58FF-8549-BCD6-949093B834DA}"/>
    <hyperlink ref="A25" r:id="rId55" display="javascript:chartPopup('BANKNIFTY', 'OPTIDX', '24DEC2020', '22400.00','CE','NIFTY PSE');" xr:uid="{D4E95C54-7ABA-3244-9157-6EA6237862B6}"/>
    <hyperlink ref="L25" r:id="rId56" display="/live_market/dynaContent/live_watch/option_chain/optionDates.jsp?symbol=BANKNIFTY&amp;instrument=OPTIDX&amp;strike=22400.00" xr:uid="{65329954-7AF4-AE42-AE33-990A514E7FDB}"/>
    <hyperlink ref="R25" r:id="rId57" display="/live_market/dynaContent/live_watch/get_quote/GetQuoteFO.jsp?underlying=BANKNIFTY&amp;instrument=OPTIDX&amp;strike=22400.00&amp;type=PE&amp;expiry=24DEC2020" xr:uid="{BC43A39C-0F32-3140-BECB-91E350A0F7C7}"/>
    <hyperlink ref="W25" r:id="rId58" display="javascript:chartPopup('BANKNIFTY', 'OPTIDX', '24DEC2020', '22400.00','PE','NIFTY PSE');" xr:uid="{B09FE2ED-C7BC-A04F-AD5C-BDD339FC0FC9}"/>
    <hyperlink ref="A26" r:id="rId59" display="javascript:chartPopup('BANKNIFTY', 'OPTIDX', '24DEC2020', '22500.00','CE','NIFTY PSE');" xr:uid="{D5BE9429-65A5-4E45-BE30-AC57DA9873D3}"/>
    <hyperlink ref="F26" r:id="rId60" display="/live_market/dynaContent/live_watch/get_quote/GetQuoteFO.jsp?underlying=BANKNIFTY&amp;instrument=OPTIDX&amp;strike=22500.00&amp;type=CE&amp;expiry=24DEC2020" xr:uid="{76CA8397-0CEA-AC44-A1F0-3F65CFD88786}"/>
    <hyperlink ref="L26" r:id="rId61" display="/live_market/dynaContent/live_watch/option_chain/optionDates.jsp?symbol=BANKNIFTY&amp;instrument=OPTIDX&amp;strike=22500.00" xr:uid="{E0AAA360-18FE-CD48-846B-D08F201E80F2}"/>
    <hyperlink ref="R26" r:id="rId62" display="/live_market/dynaContent/live_watch/get_quote/GetQuoteFO.jsp?underlying=BANKNIFTY&amp;instrument=OPTIDX&amp;strike=22500.00&amp;type=PE&amp;expiry=24DEC2020" xr:uid="{E8817DB0-B60D-614D-A592-EBC2AD0A498B}"/>
    <hyperlink ref="W26" r:id="rId63" display="javascript:chartPopup('BANKNIFTY', 'OPTIDX', '24DEC2020', '22500.00','PE','NIFTY PSE');" xr:uid="{991CBD87-B96D-DC4A-A139-9AA2E6DFBF12}"/>
    <hyperlink ref="A27" r:id="rId64" display="javascript:chartPopup('BANKNIFTY', 'OPTIDX', '24DEC2020', '22600.00','CE','NIFTY PSE');" xr:uid="{9776F339-71EB-9A4E-A29D-01ABA34F27B5}"/>
    <hyperlink ref="L27" r:id="rId65" display="/live_market/dynaContent/live_watch/option_chain/optionDates.jsp?symbol=BANKNIFTY&amp;instrument=OPTIDX&amp;strike=22600.00" xr:uid="{81B149CF-600F-8445-9E62-1D2EB5EA509F}"/>
    <hyperlink ref="W27" r:id="rId66" display="javascript:chartPopup('BANKNIFTY', 'OPTIDX', '24DEC2020', '22600.00','PE','NIFTY PSE');" xr:uid="{A3DA5619-4F47-144F-8286-70F3593E7DB7}"/>
    <hyperlink ref="A28" r:id="rId67" display="javascript:chartPopup('BANKNIFTY', 'OPTIDX', '24DEC2020', '22700.00','CE','NIFTY PSE');" xr:uid="{2AEB51D2-12CD-EA43-A52D-1950728953A0}"/>
    <hyperlink ref="L28" r:id="rId68" display="/live_market/dynaContent/live_watch/option_chain/optionDates.jsp?symbol=BANKNIFTY&amp;instrument=OPTIDX&amp;strike=22700.00" xr:uid="{F433AA6A-845E-494B-9D02-6E6650C46EF4}"/>
    <hyperlink ref="W28" r:id="rId69" display="javascript:chartPopup('BANKNIFTY', 'OPTIDX', '24DEC2020', '22700.00','PE','NIFTY PSE');" xr:uid="{29111D70-B496-6D48-8FFA-C0CE07BCEBC5}"/>
    <hyperlink ref="A29" r:id="rId70" display="javascript:chartPopup('BANKNIFTY', 'OPTIDX', '24DEC2020', '22800.00','CE','NIFTY PSE');" xr:uid="{E69CFD2E-5EC8-B04C-BEC2-4263B1051127}"/>
    <hyperlink ref="L29" r:id="rId71" display="/live_market/dynaContent/live_watch/option_chain/optionDates.jsp?symbol=BANKNIFTY&amp;instrument=OPTIDX&amp;strike=22800.00" xr:uid="{5BDB79AA-40DC-FA4E-9265-DB0B2CC25F65}"/>
    <hyperlink ref="W29" r:id="rId72" display="javascript:chartPopup('BANKNIFTY', 'OPTIDX', '24DEC2020', '22800.00','PE','NIFTY PSE');" xr:uid="{BFD4513F-EBD7-8049-9C88-EF940AAD8D77}"/>
    <hyperlink ref="A30" r:id="rId73" display="javascript:chartPopup('BANKNIFTY', 'OPTIDX', '24DEC2020', '22900.00','CE','NIFTY PSE');" xr:uid="{B1DA5407-B5DF-584C-9F8D-68B739464EDC}"/>
    <hyperlink ref="L30" r:id="rId74" display="/live_market/dynaContent/live_watch/option_chain/optionDates.jsp?symbol=BANKNIFTY&amp;instrument=OPTIDX&amp;strike=22900.00" xr:uid="{E6396B9E-DB8D-264D-8DC1-BFAE8BEE94E2}"/>
    <hyperlink ref="R30" r:id="rId75" display="/live_market/dynaContent/live_watch/get_quote/GetQuoteFO.jsp?underlying=BANKNIFTY&amp;instrument=OPTIDX&amp;strike=22900.00&amp;type=PE&amp;expiry=24DEC2020" xr:uid="{F26AD9BD-C00F-9043-8436-422512AF1B69}"/>
    <hyperlink ref="W30" r:id="rId76" display="javascript:chartPopup('BANKNIFTY', 'OPTIDX', '24DEC2020', '22900.00','PE','NIFTY PSE');" xr:uid="{07307904-658E-FE41-ACD9-C1E454F2DC6F}"/>
    <hyperlink ref="A31" r:id="rId77" display="javascript:chartPopup('BANKNIFTY', 'OPTIDX', '24DEC2020', '23000.00','CE','NIFTY PSE');" xr:uid="{2EECCE22-9620-C84A-9006-6C2A005801B4}"/>
    <hyperlink ref="L31" r:id="rId78" display="/live_market/dynaContent/live_watch/option_chain/optionDates.jsp?symbol=BANKNIFTY&amp;instrument=OPTIDX&amp;strike=23000.00" xr:uid="{700E3DA3-0C3C-BA4F-B656-78248EF0A26C}"/>
    <hyperlink ref="R31" r:id="rId79" display="/live_market/dynaContent/live_watch/get_quote/GetQuoteFO.jsp?underlying=BANKNIFTY&amp;instrument=OPTIDX&amp;strike=23000.00&amp;type=PE&amp;expiry=24DEC2020" xr:uid="{12FCD99A-E1D6-A248-AB80-F6BF877544E8}"/>
    <hyperlink ref="W31" r:id="rId80" display="javascript:chartPopup('BANKNIFTY', 'OPTIDX', '24DEC2020', '23000.00','PE','NIFTY PSE');" xr:uid="{2BADF9E8-DE59-284F-B9BA-70DA813E439A}"/>
    <hyperlink ref="A32" r:id="rId81" display="javascript:chartPopup('BANKNIFTY', 'OPTIDX', '24DEC2020', '23100.00','CE','NIFTY PSE');" xr:uid="{95F59E3E-6BA9-3944-A875-3D26954623DD}"/>
    <hyperlink ref="L32" r:id="rId82" display="/live_market/dynaContent/live_watch/option_chain/optionDates.jsp?symbol=BANKNIFTY&amp;instrument=OPTIDX&amp;strike=23100.00" xr:uid="{CB609F49-67FB-D34E-9C19-6AF9E8876154}"/>
    <hyperlink ref="W32" r:id="rId83" display="javascript:chartPopup('BANKNIFTY', 'OPTIDX', '24DEC2020', '23100.00','PE','NIFTY PSE');" xr:uid="{33C0412F-7444-C247-87B0-B997993B682F}"/>
    <hyperlink ref="A33" r:id="rId84" display="javascript:chartPopup('BANKNIFTY', 'OPTIDX', '24DEC2020', '23200.00','CE','NIFTY PSE');" xr:uid="{49080A8C-E7F3-A44A-BDFE-2657F5F1E774}"/>
    <hyperlink ref="L33" r:id="rId85" display="/live_market/dynaContent/live_watch/option_chain/optionDates.jsp?symbol=BANKNIFTY&amp;instrument=OPTIDX&amp;strike=23200.00" xr:uid="{A4E0E9C5-8A3D-9640-83C7-6F9CF3C89506}"/>
    <hyperlink ref="W33" r:id="rId86" display="javascript:chartPopup('BANKNIFTY', 'OPTIDX', '24DEC2020', '23200.00','PE','NIFTY PSE');" xr:uid="{BC646158-89AB-154A-AC7C-4E5192A028A8}"/>
    <hyperlink ref="A34" r:id="rId87" display="javascript:chartPopup('BANKNIFTY', 'OPTIDX', '24DEC2020', '23300.00','CE','NIFTY PSE');" xr:uid="{1C059160-4468-D04F-BA8D-EC4634A5AD0E}"/>
    <hyperlink ref="L34" r:id="rId88" display="/live_market/dynaContent/live_watch/option_chain/optionDates.jsp?symbol=BANKNIFTY&amp;instrument=OPTIDX&amp;strike=23300.00" xr:uid="{E47D6541-9297-2248-B059-8CD4ADD47AE7}"/>
    <hyperlink ref="W34" r:id="rId89" display="javascript:chartPopup('BANKNIFTY', 'OPTIDX', '24DEC2020', '23300.00','PE','NIFTY PSE');" xr:uid="{401CFE67-482B-7F40-8009-80CA446F9C4E}"/>
    <hyperlink ref="A35" r:id="rId90" display="javascript:chartPopup('BANKNIFTY', 'OPTIDX', '24DEC2020', '23400.00','CE','NIFTY PSE');" xr:uid="{39CC37C4-6362-5B49-AA25-BFDBFE3EF239}"/>
    <hyperlink ref="L35" r:id="rId91" display="/live_market/dynaContent/live_watch/option_chain/optionDates.jsp?symbol=BANKNIFTY&amp;instrument=OPTIDX&amp;strike=23400.00" xr:uid="{C9CC9E18-E184-6242-8A09-B25ACD963097}"/>
    <hyperlink ref="W35" r:id="rId92" display="javascript:chartPopup('BANKNIFTY', 'OPTIDX', '24DEC2020', '23400.00','PE','NIFTY PSE');" xr:uid="{A6D776B5-B9ED-754D-BDE3-4825E2F2CDD8}"/>
    <hyperlink ref="A36" r:id="rId93" display="javascript:chartPopup('BANKNIFTY', 'OPTIDX', '24DEC2020', '23500.00','CE','NIFTY PSE');" xr:uid="{9B579DEF-0D9E-BE4D-8D7F-A68F26E46924}"/>
    <hyperlink ref="L36" r:id="rId94" display="/live_market/dynaContent/live_watch/option_chain/optionDates.jsp?symbol=BANKNIFTY&amp;instrument=OPTIDX&amp;strike=23500.00" xr:uid="{7E895A25-67BA-D64A-9C83-7EC68CEC3CD0}"/>
    <hyperlink ref="R36" r:id="rId95" display="/live_market/dynaContent/live_watch/get_quote/GetQuoteFO.jsp?underlying=BANKNIFTY&amp;instrument=OPTIDX&amp;strike=23500.00&amp;type=PE&amp;expiry=24DEC2020" xr:uid="{98BBFF1F-1872-A544-BF69-6D9CD47709A3}"/>
    <hyperlink ref="W36" r:id="rId96" display="javascript:chartPopup('BANKNIFTY', 'OPTIDX', '24DEC2020', '23500.00','PE','NIFTY PSE');" xr:uid="{145BBF16-6EF6-9D4C-BD9F-200447E81226}"/>
    <hyperlink ref="A37" r:id="rId97" display="javascript:chartPopup('BANKNIFTY', 'OPTIDX', '24DEC2020', '23600.00','CE','NIFTY PSE');" xr:uid="{FE684CD8-CDC2-B541-9EE1-20BD3972B193}"/>
    <hyperlink ref="L37" r:id="rId98" display="/live_market/dynaContent/live_watch/option_chain/optionDates.jsp?symbol=BANKNIFTY&amp;instrument=OPTIDX&amp;strike=23600.00" xr:uid="{015B801F-0894-D94C-BCAB-A12779CBD1EA}"/>
    <hyperlink ref="W37" r:id="rId99" display="javascript:chartPopup('BANKNIFTY', 'OPTIDX', '24DEC2020', '23600.00','PE','NIFTY PSE');" xr:uid="{644B1AF7-3EA9-0845-B2D8-858930CB9322}"/>
    <hyperlink ref="A38" r:id="rId100" display="javascript:chartPopup('BANKNIFTY', 'OPTIDX', '24DEC2020', '23700.00','CE','NIFTY PSE');" xr:uid="{55CA1732-8E42-F944-A579-B8F9F7D7C59C}"/>
    <hyperlink ref="L38" r:id="rId101" display="/live_market/dynaContent/live_watch/option_chain/optionDates.jsp?symbol=BANKNIFTY&amp;instrument=OPTIDX&amp;strike=23700.00" xr:uid="{83F86E8A-51BB-A248-9106-3DA693AF3DC6}"/>
    <hyperlink ref="W38" r:id="rId102" display="javascript:chartPopup('BANKNIFTY', 'OPTIDX', '24DEC2020', '23700.00','PE','NIFTY PSE');" xr:uid="{C3A9220A-7D96-4146-8F3E-9646DF28496F}"/>
    <hyperlink ref="A39" r:id="rId103" display="javascript:chartPopup('BANKNIFTY', 'OPTIDX', '24DEC2020', '23800.00','CE','NIFTY PSE');" xr:uid="{813FAF64-7A4B-B847-9332-CF8935EE5A45}"/>
    <hyperlink ref="L39" r:id="rId104" display="/live_market/dynaContent/live_watch/option_chain/optionDates.jsp?symbol=BANKNIFTY&amp;instrument=OPTIDX&amp;strike=23800.00" xr:uid="{806C02C6-1CC0-E047-93B9-6FAC165A039B}"/>
    <hyperlink ref="W39" r:id="rId105" display="javascript:chartPopup('BANKNIFTY', 'OPTIDX', '24DEC2020', '23800.00','PE','NIFTY PSE');" xr:uid="{21DB592E-46C1-B143-A6C8-87603BCE5044}"/>
    <hyperlink ref="A40" r:id="rId106" display="javascript:chartPopup('BANKNIFTY', 'OPTIDX', '24DEC2020', '23900.00','CE','NIFTY PSE');" xr:uid="{11010DCB-8300-234F-B426-6B1052C964E8}"/>
    <hyperlink ref="L40" r:id="rId107" display="/live_market/dynaContent/live_watch/option_chain/optionDates.jsp?symbol=BANKNIFTY&amp;instrument=OPTIDX&amp;strike=23900.00" xr:uid="{14470EA0-A17F-4E45-9694-AFA2805D0B59}"/>
    <hyperlink ref="W40" r:id="rId108" display="javascript:chartPopup('BANKNIFTY', 'OPTIDX', '24DEC2020', '23900.00','PE','NIFTY PSE');" xr:uid="{D3139782-CC15-094C-BDF0-A0018FC84B6A}"/>
    <hyperlink ref="A41" r:id="rId109" display="javascript:chartPopup('BANKNIFTY', 'OPTIDX', '24DEC2020', '24000.00','CE','NIFTY PSE');" xr:uid="{1AFE9A2E-94DC-0344-9F5C-4542DCC8129F}"/>
    <hyperlink ref="L41" r:id="rId110" display="/live_market/dynaContent/live_watch/option_chain/optionDates.jsp?symbol=BANKNIFTY&amp;instrument=OPTIDX&amp;strike=24000.00" xr:uid="{4DACF8E3-C329-5845-A8C2-4E1EFFACD266}"/>
    <hyperlink ref="R41" r:id="rId111" display="/live_market/dynaContent/live_watch/get_quote/GetQuoteFO.jsp?underlying=BANKNIFTY&amp;instrument=OPTIDX&amp;strike=24000.00&amp;type=PE&amp;expiry=24DEC2020" xr:uid="{653D8228-2E8A-C744-ACC7-034EC7ED56CE}"/>
    <hyperlink ref="W41" r:id="rId112" display="javascript:chartPopup('BANKNIFTY', 'OPTIDX', '24DEC2020', '24000.00','PE','NIFTY PSE');" xr:uid="{B74E9FC1-B628-2C49-83F0-147805A3D229}"/>
    <hyperlink ref="A42" r:id="rId113" display="javascript:chartPopup('BANKNIFTY', 'OPTIDX', '24DEC2020', '24100.00','CE','NIFTY PSE');" xr:uid="{52072FB1-8F1B-0848-8E19-CF7E1E5C0929}"/>
    <hyperlink ref="L42" r:id="rId114" display="/live_market/dynaContent/live_watch/option_chain/optionDates.jsp?symbol=BANKNIFTY&amp;instrument=OPTIDX&amp;strike=24100.00" xr:uid="{086FF27C-839E-A448-ACC5-CAC788F0358F}"/>
    <hyperlink ref="W42" r:id="rId115" display="javascript:chartPopup('BANKNIFTY', 'OPTIDX', '24DEC2020', '24100.00','PE','NIFTY PSE');" xr:uid="{95D71E00-7EE4-6746-908E-AD2E54514E05}"/>
    <hyperlink ref="A43" r:id="rId116" display="javascript:chartPopup('BANKNIFTY', 'OPTIDX', '24DEC2020', '24200.00','CE','NIFTY PSE');" xr:uid="{BAA7A2C3-A00F-A24C-8A83-5808E945F0DC}"/>
    <hyperlink ref="L43" r:id="rId117" display="/live_market/dynaContent/live_watch/option_chain/optionDates.jsp?symbol=BANKNIFTY&amp;instrument=OPTIDX&amp;strike=24200.00" xr:uid="{DA8C6E83-5D14-6745-A9D7-0B8A3852418C}"/>
    <hyperlink ref="W43" r:id="rId118" display="javascript:chartPopup('BANKNIFTY', 'OPTIDX', '24DEC2020', '24200.00','PE','NIFTY PSE');" xr:uid="{6BB1D668-EB7C-3C4E-88EF-98AC04BDB8F9}"/>
    <hyperlink ref="A44" r:id="rId119" display="javascript:chartPopup('BANKNIFTY', 'OPTIDX', '24DEC2020', '24300.00','CE','NIFTY PSE');" xr:uid="{99BE98F5-723C-1A4A-BA8C-8BAD141FB641}"/>
    <hyperlink ref="L44" r:id="rId120" display="/live_market/dynaContent/live_watch/option_chain/optionDates.jsp?symbol=BANKNIFTY&amp;instrument=OPTIDX&amp;strike=24300.00" xr:uid="{E8E8DDD1-7BA6-6443-9DEE-C308ABA99F80}"/>
    <hyperlink ref="W44" r:id="rId121" display="javascript:chartPopup('BANKNIFTY', 'OPTIDX', '24DEC2020', '24300.00','PE','NIFTY PSE');" xr:uid="{9C2EA4F2-99DE-ED47-A66D-454EF5BAEDA8}"/>
    <hyperlink ref="A45" r:id="rId122" display="javascript:chartPopup('BANKNIFTY', 'OPTIDX', '24DEC2020', '24400.00','CE','NIFTY PSE');" xr:uid="{BBCFFA4F-08BB-2748-97AF-8F56284E379A}"/>
    <hyperlink ref="L45" r:id="rId123" display="/live_market/dynaContent/live_watch/option_chain/optionDates.jsp?symbol=BANKNIFTY&amp;instrument=OPTIDX&amp;strike=24400.00" xr:uid="{D2CF6E0E-D954-AE4B-B07B-0BD08061071F}"/>
    <hyperlink ref="R45" r:id="rId124" display="/live_market/dynaContent/live_watch/get_quote/GetQuoteFO.jsp?underlying=BANKNIFTY&amp;instrument=OPTIDX&amp;strike=24400.00&amp;type=PE&amp;expiry=24DEC2020" xr:uid="{DE2CC5BC-EE2A-F24B-A1D5-453F09D5CA8A}"/>
    <hyperlink ref="W45" r:id="rId125" display="javascript:chartPopup('BANKNIFTY', 'OPTIDX', '24DEC2020', '24400.00','PE','NIFTY PSE');" xr:uid="{4F321D10-0DAB-6548-933F-E1095D4BF833}"/>
    <hyperlink ref="A46" r:id="rId126" display="javascript:chartPopup('BANKNIFTY', 'OPTIDX', '24DEC2020', '24500.00','CE','NIFTY PSE');" xr:uid="{CB4C5384-00C4-8940-9A0E-D2C6960A0292}"/>
    <hyperlink ref="L46" r:id="rId127" display="/live_market/dynaContent/live_watch/option_chain/optionDates.jsp?symbol=BANKNIFTY&amp;instrument=OPTIDX&amp;strike=24500.00" xr:uid="{6324BC4B-EEE6-B947-BD48-D6F56A4CCA5A}"/>
    <hyperlink ref="R46" r:id="rId128" display="/live_market/dynaContent/live_watch/get_quote/GetQuoteFO.jsp?underlying=BANKNIFTY&amp;instrument=OPTIDX&amp;strike=24500.00&amp;type=PE&amp;expiry=24DEC2020" xr:uid="{A9027C61-C154-9D4C-8FDE-F826273058A3}"/>
    <hyperlink ref="W46" r:id="rId129" display="javascript:chartPopup('BANKNIFTY', 'OPTIDX', '24DEC2020', '24500.00','PE','NIFTY PSE');" xr:uid="{DAE6029A-2844-0144-86EE-59B550BD2C22}"/>
    <hyperlink ref="A47" r:id="rId130" display="javascript:chartPopup('BANKNIFTY', 'OPTIDX', '24DEC2020', '24600.00','CE','NIFTY PSE');" xr:uid="{F3C362AB-8DB9-5D4D-A6FB-4C7D255B5471}"/>
    <hyperlink ref="L47" r:id="rId131" display="/live_market/dynaContent/live_watch/option_chain/optionDates.jsp?symbol=BANKNIFTY&amp;instrument=OPTIDX&amp;strike=24600.00" xr:uid="{BB1E78D3-DF6D-624D-AEF6-04C5A065211E}"/>
    <hyperlink ref="W47" r:id="rId132" display="javascript:chartPopup('BANKNIFTY', 'OPTIDX', '24DEC2020', '24600.00','PE','NIFTY PSE');" xr:uid="{4065A084-72D5-804C-BA7A-9D8417ED3C7F}"/>
    <hyperlink ref="A48" r:id="rId133" display="javascript:chartPopup('BANKNIFTY', 'OPTIDX', '24DEC2020', '24700.00','CE','NIFTY PSE');" xr:uid="{7FFBBDA5-3030-9243-9935-5F5003E3E59E}"/>
    <hyperlink ref="L48" r:id="rId134" display="/live_market/dynaContent/live_watch/option_chain/optionDates.jsp?symbol=BANKNIFTY&amp;instrument=OPTIDX&amp;strike=24700.00" xr:uid="{73443131-1F63-8F4D-80B5-54B90D2E9C1B}"/>
    <hyperlink ref="R48" r:id="rId135" display="/live_market/dynaContent/live_watch/get_quote/GetQuoteFO.jsp?underlying=BANKNIFTY&amp;instrument=OPTIDX&amp;strike=24700.00&amp;type=PE&amp;expiry=24DEC2020" xr:uid="{021652F7-C0C4-8A43-BEA2-421B2602D68F}"/>
    <hyperlink ref="W48" r:id="rId136" display="javascript:chartPopup('BANKNIFTY', 'OPTIDX', '24DEC2020', '24700.00','PE','NIFTY PSE');" xr:uid="{F60EF121-6507-7442-8701-EE0E0533E306}"/>
    <hyperlink ref="A49" r:id="rId137" display="javascript:chartPopup('BANKNIFTY', 'OPTIDX', '24DEC2020', '24800.00','CE','NIFTY PSE');" xr:uid="{69303BD2-5C26-8F4F-8DCA-3CD51A1E1492}"/>
    <hyperlink ref="L49" r:id="rId138" display="/live_market/dynaContent/live_watch/option_chain/optionDates.jsp?symbol=BANKNIFTY&amp;instrument=OPTIDX&amp;strike=24800.00" xr:uid="{DC57249F-7778-E045-9C57-5EBF44D5ACBD}"/>
    <hyperlink ref="W49" r:id="rId139" display="javascript:chartPopup('BANKNIFTY', 'OPTIDX', '24DEC2020', '24800.00','PE','NIFTY PSE');" xr:uid="{78490961-2F6E-C342-89FD-1E935F8CE607}"/>
    <hyperlink ref="A50" r:id="rId140" display="javascript:chartPopup('BANKNIFTY', 'OPTIDX', '24DEC2020', '24900.00','CE','NIFTY PSE');" xr:uid="{F18B647F-0FC7-604B-91CF-56DFB58671F4}"/>
    <hyperlink ref="L50" r:id="rId141" display="/live_market/dynaContent/live_watch/option_chain/optionDates.jsp?symbol=BANKNIFTY&amp;instrument=OPTIDX&amp;strike=24900.00" xr:uid="{A2965682-E31A-FD46-AA8A-A680EEA3C12B}"/>
    <hyperlink ref="W50" r:id="rId142" display="javascript:chartPopup('BANKNIFTY', 'OPTIDX', '24DEC2020', '24900.00','PE','NIFTY PSE');" xr:uid="{8D285BB0-7813-8143-89F9-9215201A9091}"/>
    <hyperlink ref="A51" r:id="rId143" display="javascript:chartPopup('BANKNIFTY', 'OPTIDX', '24DEC2020', '25000.00','CE','NIFTY PSE');" xr:uid="{F6A03BEF-9DF1-4141-90F9-E400EF022B25}"/>
    <hyperlink ref="F51" r:id="rId144" display="/live_market/dynaContent/live_watch/get_quote/GetQuoteFO.jsp?underlying=BANKNIFTY&amp;instrument=OPTIDX&amp;strike=25000.00&amp;type=CE&amp;expiry=24DEC2020" xr:uid="{1778B2C9-52E3-AA4C-9BD9-F829E5BF8D62}"/>
    <hyperlink ref="L51" r:id="rId145" display="/live_market/dynaContent/live_watch/option_chain/optionDates.jsp?symbol=BANKNIFTY&amp;instrument=OPTIDX&amp;strike=25000.00" xr:uid="{A1C108CB-AA8C-5642-B532-976032CE1FC0}"/>
    <hyperlink ref="R51" r:id="rId146" display="/live_market/dynaContent/live_watch/get_quote/GetQuoteFO.jsp?underlying=BANKNIFTY&amp;instrument=OPTIDX&amp;strike=25000.00&amp;type=PE&amp;expiry=24DEC2020" xr:uid="{112ECC6C-E110-4344-9648-E030EDC1CE8A}"/>
    <hyperlink ref="W51" r:id="rId147" display="javascript:chartPopup('BANKNIFTY', 'OPTIDX', '24DEC2020', '25000.00','PE','NIFTY PSE');" xr:uid="{981B4EF0-010D-B143-B189-445668A200C8}"/>
    <hyperlink ref="A52" r:id="rId148" display="javascript:chartPopup('BANKNIFTY', 'OPTIDX', '24DEC2020', '25100.00','CE','NIFTY PSE');" xr:uid="{60329F8D-B6A4-004D-9601-2E85FBECD3B5}"/>
    <hyperlink ref="L52" r:id="rId149" display="/live_market/dynaContent/live_watch/option_chain/optionDates.jsp?symbol=BANKNIFTY&amp;instrument=OPTIDX&amp;strike=25100.00" xr:uid="{905930F7-C4C7-3142-842E-38CB3195026D}"/>
    <hyperlink ref="W52" r:id="rId150" display="javascript:chartPopup('BANKNIFTY', 'OPTIDX', '24DEC2020', '25100.00','PE','NIFTY PSE');" xr:uid="{4499BDE0-DDF5-6D42-B30B-F49BDF079E30}"/>
    <hyperlink ref="A53" r:id="rId151" display="javascript:chartPopup('BANKNIFTY', 'OPTIDX', '24DEC2020', '25200.00','CE','NIFTY PSE');" xr:uid="{99A71559-4206-F045-A87B-4403603C69F5}"/>
    <hyperlink ref="L53" r:id="rId152" display="/live_market/dynaContent/live_watch/option_chain/optionDates.jsp?symbol=BANKNIFTY&amp;instrument=OPTIDX&amp;strike=25200.00" xr:uid="{708749FE-1C59-F246-8573-51F0338CE6E2}"/>
    <hyperlink ref="W53" r:id="rId153" display="javascript:chartPopup('BANKNIFTY', 'OPTIDX', '24DEC2020', '25200.00','PE','NIFTY PSE');" xr:uid="{1E936A64-3C89-5242-824A-6107F6E46892}"/>
    <hyperlink ref="A54" r:id="rId154" display="javascript:chartPopup('BANKNIFTY', 'OPTIDX', '24DEC2020', '25300.00','CE','NIFTY PSE');" xr:uid="{80037ED7-9027-7D4F-A1C1-F37B77233BD7}"/>
    <hyperlink ref="L54" r:id="rId155" display="/live_market/dynaContent/live_watch/option_chain/optionDates.jsp?symbol=BANKNIFTY&amp;instrument=OPTIDX&amp;strike=25300.00" xr:uid="{5C210853-71C5-2E43-8EAF-D2BB0F2F4AC8}"/>
    <hyperlink ref="W54" r:id="rId156" display="javascript:chartPopup('BANKNIFTY', 'OPTIDX', '24DEC2020', '25300.00','PE','NIFTY PSE');" xr:uid="{5FE1C811-0ADC-8242-A39D-E5B9A45C6F84}"/>
    <hyperlink ref="A55" r:id="rId157" display="javascript:chartPopup('BANKNIFTY', 'OPTIDX', '24DEC2020', '25400.00','CE','NIFTY PSE');" xr:uid="{2F05570C-6F71-D84B-ABAE-190B5B0389B5}"/>
    <hyperlink ref="L55" r:id="rId158" display="/live_market/dynaContent/live_watch/option_chain/optionDates.jsp?symbol=BANKNIFTY&amp;instrument=OPTIDX&amp;strike=25400.00" xr:uid="{3DEC3378-03A9-ED43-AEC3-8AE54137D9DF}"/>
    <hyperlink ref="W55" r:id="rId159" display="javascript:chartPopup('BANKNIFTY', 'OPTIDX', '24DEC2020', '25400.00','PE','NIFTY PSE');" xr:uid="{E68A414A-7154-4F46-BE67-93B0AB6CEFA9}"/>
    <hyperlink ref="A56" r:id="rId160" display="javascript:chartPopup('BANKNIFTY', 'OPTIDX', '24DEC2020', '25500.00','CE','NIFTY PSE');" xr:uid="{54F94425-21F6-5548-9394-51D2D1B8AD86}"/>
    <hyperlink ref="F56" r:id="rId161" display="/live_market/dynaContent/live_watch/get_quote/GetQuoteFO.jsp?underlying=BANKNIFTY&amp;instrument=OPTIDX&amp;strike=25500.00&amp;type=CE&amp;expiry=24DEC2020" xr:uid="{2C1062C2-FA76-C94C-A6E5-0A040612D6EF}"/>
    <hyperlink ref="L56" r:id="rId162" display="/live_market/dynaContent/live_watch/option_chain/optionDates.jsp?symbol=BANKNIFTY&amp;instrument=OPTIDX&amp;strike=25500.00" xr:uid="{D6248728-E6A7-EC43-9E6B-40BB63110E42}"/>
    <hyperlink ref="R56" r:id="rId163" display="/live_market/dynaContent/live_watch/get_quote/GetQuoteFO.jsp?underlying=BANKNIFTY&amp;instrument=OPTIDX&amp;strike=25500.00&amp;type=PE&amp;expiry=24DEC2020" xr:uid="{7508BE0A-8F25-F345-A180-DC463937E04B}"/>
    <hyperlink ref="W56" r:id="rId164" display="javascript:chartPopup('BANKNIFTY', 'OPTIDX', '24DEC2020', '25500.00','PE','NIFTY PSE');" xr:uid="{17BC16C7-B118-444E-B87A-91F5E3AE03CA}"/>
    <hyperlink ref="A57" r:id="rId165" display="javascript:chartPopup('BANKNIFTY', 'OPTIDX', '24DEC2020', '25600.00','CE','NIFTY PSE');" xr:uid="{0A5CC873-9242-034A-BD2A-EDE18F28B0D9}"/>
    <hyperlink ref="L57" r:id="rId166" display="/live_market/dynaContent/live_watch/option_chain/optionDates.jsp?symbol=BANKNIFTY&amp;instrument=OPTIDX&amp;strike=25600.00" xr:uid="{A697D05C-998C-0141-8665-24153FF3DEB4}"/>
    <hyperlink ref="W57" r:id="rId167" display="javascript:chartPopup('BANKNIFTY', 'OPTIDX', '24DEC2020', '25600.00','PE','NIFTY PSE');" xr:uid="{0B9B911C-40E5-E141-A26C-3D20BB8651DA}"/>
    <hyperlink ref="A58" r:id="rId168" display="javascript:chartPopup('BANKNIFTY', 'OPTIDX', '24DEC2020', '25700.00','CE','NIFTY PSE');" xr:uid="{47843D4C-F674-2B4F-B6D4-10BE6D13E40C}"/>
    <hyperlink ref="L58" r:id="rId169" display="/live_market/dynaContent/live_watch/option_chain/optionDates.jsp?symbol=BANKNIFTY&amp;instrument=OPTIDX&amp;strike=25700.00" xr:uid="{8E70F2D3-67B0-924C-90DF-03943E235BCA}"/>
    <hyperlink ref="R58" r:id="rId170" display="/live_market/dynaContent/live_watch/get_quote/GetQuoteFO.jsp?underlying=BANKNIFTY&amp;instrument=OPTIDX&amp;strike=25700.00&amp;type=PE&amp;expiry=24DEC2020" xr:uid="{DAB47FD2-360F-524C-B9E4-6931B0F13932}"/>
    <hyperlink ref="W58" r:id="rId171" display="javascript:chartPopup('BANKNIFTY', 'OPTIDX', '24DEC2020', '25700.00','PE','NIFTY PSE');" xr:uid="{B3131839-4B9B-8A49-9A0E-223C40BE54C7}"/>
    <hyperlink ref="A59" r:id="rId172" display="javascript:chartPopup('BANKNIFTY', 'OPTIDX', '24DEC2020', '25800.00','CE','NIFTY PSE');" xr:uid="{C982063D-BBAF-154E-AD6F-E5698FCDB607}"/>
    <hyperlink ref="L59" r:id="rId173" display="/live_market/dynaContent/live_watch/option_chain/optionDates.jsp?symbol=BANKNIFTY&amp;instrument=OPTIDX&amp;strike=25800.00" xr:uid="{2BF3617B-16D2-1342-864A-6AB50D2DD610}"/>
    <hyperlink ref="R59" r:id="rId174" display="/live_market/dynaContent/live_watch/get_quote/GetQuoteFO.jsp?underlying=BANKNIFTY&amp;instrument=OPTIDX&amp;strike=25800.00&amp;type=PE&amp;expiry=24DEC2020" xr:uid="{E3ED8932-CA79-4C46-8DFA-020ACE5BEEDD}"/>
    <hyperlink ref="W59" r:id="rId175" display="javascript:chartPopup('BANKNIFTY', 'OPTIDX', '24DEC2020', '25800.00','PE','NIFTY PSE');" xr:uid="{42A20C6F-725D-BF41-B1D7-97A84E548B41}"/>
    <hyperlink ref="A60" r:id="rId176" display="javascript:chartPopup('BANKNIFTY', 'OPTIDX', '24DEC2020', '25900.00','CE','NIFTY PSE');" xr:uid="{52C65ABA-1AF3-4E48-8ABF-B789E2F8B798}"/>
    <hyperlink ref="L60" r:id="rId177" display="/live_market/dynaContent/live_watch/option_chain/optionDates.jsp?symbol=BANKNIFTY&amp;instrument=OPTIDX&amp;strike=25900.00" xr:uid="{CC8D411A-D3C9-644D-815D-71841EA66A08}"/>
    <hyperlink ref="R60" r:id="rId178" display="/live_market/dynaContent/live_watch/get_quote/GetQuoteFO.jsp?underlying=BANKNIFTY&amp;instrument=OPTIDX&amp;strike=25900.00&amp;type=PE&amp;expiry=24DEC2020" xr:uid="{1D56A11C-BE47-4745-A9D0-51CC10381C7C}"/>
    <hyperlink ref="W60" r:id="rId179" display="javascript:chartPopup('BANKNIFTY', 'OPTIDX', '24DEC2020', '25900.00','PE','NIFTY PSE');" xr:uid="{3F953B86-CF81-ED40-983B-8962BF53FD91}"/>
    <hyperlink ref="A61" r:id="rId180" display="javascript:chartPopup('BANKNIFTY', 'OPTIDX', '24DEC2020', '26000.00','CE','NIFTY PSE');" xr:uid="{727C70B1-EA2A-D446-B53E-4FAA4C05A6D2}"/>
    <hyperlink ref="F61" r:id="rId181" display="/live_market/dynaContent/live_watch/get_quote/GetQuoteFO.jsp?underlying=BANKNIFTY&amp;instrument=OPTIDX&amp;strike=26000.00&amp;type=CE&amp;expiry=24DEC2020" xr:uid="{DA3268F3-17A9-FE44-BDB1-FFA6FC9CAF7C}"/>
    <hyperlink ref="L61" r:id="rId182" display="/live_market/dynaContent/live_watch/option_chain/optionDates.jsp?symbol=BANKNIFTY&amp;instrument=OPTIDX&amp;strike=26000.00" xr:uid="{9303C60D-FBA0-A048-BAAD-F98E6ED01E96}"/>
    <hyperlink ref="R61" r:id="rId183" display="/live_market/dynaContent/live_watch/get_quote/GetQuoteFO.jsp?underlying=BANKNIFTY&amp;instrument=OPTIDX&amp;strike=26000.00&amp;type=PE&amp;expiry=24DEC2020" xr:uid="{B22D562B-8321-D947-ACAA-F92F45286380}"/>
    <hyperlink ref="W61" r:id="rId184" display="javascript:chartPopup('BANKNIFTY', 'OPTIDX', '24DEC2020', '26000.00','PE','NIFTY PSE');" xr:uid="{C2F32B97-D160-284A-A961-A46A59876686}"/>
    <hyperlink ref="A62" r:id="rId185" display="javascript:chartPopup('BANKNIFTY', 'OPTIDX', '24DEC2020', '26100.00','CE','NIFTY PSE');" xr:uid="{ACAEF037-11CC-AF4A-9B4E-237C958262A9}"/>
    <hyperlink ref="L62" r:id="rId186" display="/live_market/dynaContent/live_watch/option_chain/optionDates.jsp?symbol=BANKNIFTY&amp;instrument=OPTIDX&amp;strike=26100.00" xr:uid="{D9F38B38-4E08-EE4B-AF63-30FFB899697F}"/>
    <hyperlink ref="R62" r:id="rId187" display="/live_market/dynaContent/live_watch/get_quote/GetQuoteFO.jsp?underlying=BANKNIFTY&amp;instrument=OPTIDX&amp;strike=26100.00&amp;type=PE&amp;expiry=24DEC2020" xr:uid="{9D494E44-6F17-B74C-AAB3-FA882044C6A0}"/>
    <hyperlink ref="W62" r:id="rId188" display="javascript:chartPopup('BANKNIFTY', 'OPTIDX', '24DEC2020', '26100.00','PE','NIFTY PSE');" xr:uid="{781E29BB-9C89-0A45-A814-7EE904CBC633}"/>
    <hyperlink ref="A63" r:id="rId189" display="javascript:chartPopup('BANKNIFTY', 'OPTIDX', '24DEC2020', '26200.00','CE','NIFTY PSE');" xr:uid="{00BE284B-7D28-9E4A-A3AB-939E10E7AE16}"/>
    <hyperlink ref="L63" r:id="rId190" display="/live_market/dynaContent/live_watch/option_chain/optionDates.jsp?symbol=BANKNIFTY&amp;instrument=OPTIDX&amp;strike=26200.00" xr:uid="{68148BB5-480E-9D4B-B7DD-CA6A7B2DAB42}"/>
    <hyperlink ref="R63" r:id="rId191" display="/live_market/dynaContent/live_watch/get_quote/GetQuoteFO.jsp?underlying=BANKNIFTY&amp;instrument=OPTIDX&amp;strike=26200.00&amp;type=PE&amp;expiry=24DEC2020" xr:uid="{DAA91450-803B-394E-9F16-632EE92CADF7}"/>
    <hyperlink ref="W63" r:id="rId192" display="javascript:chartPopup('BANKNIFTY', 'OPTIDX', '24DEC2020', '26200.00','PE','NIFTY PSE');" xr:uid="{2AFC5C97-A039-8842-B3AF-9C4969F7CF9D}"/>
    <hyperlink ref="A64" r:id="rId193" display="javascript:chartPopup('BANKNIFTY', 'OPTIDX', '24DEC2020', '26300.00','CE','NIFTY PSE');" xr:uid="{19EDF484-4FAF-144E-B9BE-6179EFCEFE05}"/>
    <hyperlink ref="L64" r:id="rId194" display="/live_market/dynaContent/live_watch/option_chain/optionDates.jsp?symbol=BANKNIFTY&amp;instrument=OPTIDX&amp;strike=26300.00" xr:uid="{C639FB1A-38E3-FA4C-9B16-FC2C03F7DAB8}"/>
    <hyperlink ref="R64" r:id="rId195" display="/live_market/dynaContent/live_watch/get_quote/GetQuoteFO.jsp?underlying=BANKNIFTY&amp;instrument=OPTIDX&amp;strike=26300.00&amp;type=PE&amp;expiry=24DEC2020" xr:uid="{D8ACB7DB-7D0C-C341-B91A-1A7F6D81ABE2}"/>
    <hyperlink ref="W64" r:id="rId196" display="javascript:chartPopup('BANKNIFTY', 'OPTIDX', '24DEC2020', '26300.00','PE','NIFTY PSE');" xr:uid="{00C8C991-2E7E-D348-B75E-FF35E462CD3E}"/>
    <hyperlink ref="A65" r:id="rId197" display="javascript:chartPopup('BANKNIFTY', 'OPTIDX', '24DEC2020', '26400.00','CE','NIFTY PSE');" xr:uid="{6EC72CD1-4EF2-5B4E-AE96-C3923742B450}"/>
    <hyperlink ref="L65" r:id="rId198" display="/live_market/dynaContent/live_watch/option_chain/optionDates.jsp?symbol=BANKNIFTY&amp;instrument=OPTIDX&amp;strike=26400.00" xr:uid="{6311C981-4171-984D-AF3D-DD1D3B0E57D1}"/>
    <hyperlink ref="R65" r:id="rId199" display="/live_market/dynaContent/live_watch/get_quote/GetQuoteFO.jsp?underlying=BANKNIFTY&amp;instrument=OPTIDX&amp;strike=26400.00&amp;type=PE&amp;expiry=24DEC2020" xr:uid="{CDE2D831-C74C-6845-B6D7-80D3482BDA4C}"/>
    <hyperlink ref="W65" r:id="rId200" display="javascript:chartPopup('BANKNIFTY', 'OPTIDX', '24DEC2020', '26400.00','PE','NIFTY PSE');" xr:uid="{6BF4D3DF-A861-EA49-BB30-76958AC55824}"/>
    <hyperlink ref="A66" r:id="rId201" display="javascript:chartPopup('BANKNIFTY', 'OPTIDX', '24DEC2020', '26500.00','CE','NIFTY PSE');" xr:uid="{B0CA34FC-65BE-3648-B19A-FA61FC25D13D}"/>
    <hyperlink ref="F66" r:id="rId202" display="/live_market/dynaContent/live_watch/get_quote/GetQuoteFO.jsp?underlying=BANKNIFTY&amp;instrument=OPTIDX&amp;strike=26500.00&amp;type=CE&amp;expiry=24DEC2020" xr:uid="{C124F44E-80BA-C145-B0C3-B3B8034672FE}"/>
    <hyperlink ref="L66" r:id="rId203" display="/live_market/dynaContent/live_watch/option_chain/optionDates.jsp?symbol=BANKNIFTY&amp;instrument=OPTIDX&amp;strike=26500.00" xr:uid="{41BB0183-804B-C34B-80E6-2D0A66812C2A}"/>
    <hyperlink ref="R66" r:id="rId204" display="/live_market/dynaContent/live_watch/get_quote/GetQuoteFO.jsp?underlying=BANKNIFTY&amp;instrument=OPTIDX&amp;strike=26500.00&amp;type=PE&amp;expiry=24DEC2020" xr:uid="{5E89AE8C-A9A7-404E-B441-387243ED63D4}"/>
    <hyperlink ref="W66" r:id="rId205" display="javascript:chartPopup('BANKNIFTY', 'OPTIDX', '24DEC2020', '26500.00','PE','NIFTY PSE');" xr:uid="{93205999-EAD4-1447-BC6D-6C3D958CECC1}"/>
    <hyperlink ref="A67" r:id="rId206" display="javascript:chartPopup('BANKNIFTY', 'OPTIDX', '24DEC2020', '26600.00','CE','NIFTY PSE');" xr:uid="{75BDAD39-794D-4847-B944-1E5A02E760EB}"/>
    <hyperlink ref="L67" r:id="rId207" display="/live_market/dynaContent/live_watch/option_chain/optionDates.jsp?symbol=BANKNIFTY&amp;instrument=OPTIDX&amp;strike=26600.00" xr:uid="{CAF6DA84-767B-5C4B-A356-BAA7C73F13F7}"/>
    <hyperlink ref="R67" r:id="rId208" display="/live_market/dynaContent/live_watch/get_quote/GetQuoteFO.jsp?underlying=BANKNIFTY&amp;instrument=OPTIDX&amp;strike=26600.00&amp;type=PE&amp;expiry=24DEC2020" xr:uid="{0BCDFD35-CA81-FB47-A297-7885D5390C6C}"/>
    <hyperlink ref="W67" r:id="rId209" display="javascript:chartPopup('BANKNIFTY', 'OPTIDX', '24DEC2020', '26600.00','PE','NIFTY PSE');" xr:uid="{A4477931-DA52-DF49-9023-08BD3832E1D6}"/>
    <hyperlink ref="A68" r:id="rId210" display="javascript:chartPopup('BANKNIFTY', 'OPTIDX', '24DEC2020', '26700.00','CE','NIFTY PSE');" xr:uid="{6CF087EA-4A0A-194B-AAE0-2FBCA04AD40E}"/>
    <hyperlink ref="L68" r:id="rId211" display="/live_market/dynaContent/live_watch/option_chain/optionDates.jsp?symbol=BANKNIFTY&amp;instrument=OPTIDX&amp;strike=26700.00" xr:uid="{F862623A-1DC2-4F41-81D8-34FD5DC4F399}"/>
    <hyperlink ref="R68" r:id="rId212" display="/live_market/dynaContent/live_watch/get_quote/GetQuoteFO.jsp?underlying=BANKNIFTY&amp;instrument=OPTIDX&amp;strike=26700.00&amp;type=PE&amp;expiry=24DEC2020" xr:uid="{AD0DAFBA-2A5A-3440-B59F-C51C9DD573B8}"/>
    <hyperlink ref="W68" r:id="rId213" display="javascript:chartPopup('BANKNIFTY', 'OPTIDX', '24DEC2020', '26700.00','PE','NIFTY PSE');" xr:uid="{0B8D3127-408C-CA4A-BE7D-90E4DB1C0ABD}"/>
    <hyperlink ref="A69" r:id="rId214" display="javascript:chartPopup('BANKNIFTY', 'OPTIDX', '24DEC2020', '26800.00','CE','NIFTY PSE');" xr:uid="{089E9CDB-254C-F444-B899-4485D96E3731}"/>
    <hyperlink ref="L69" r:id="rId215" display="/live_market/dynaContent/live_watch/option_chain/optionDates.jsp?symbol=BANKNIFTY&amp;instrument=OPTIDX&amp;strike=26800.00" xr:uid="{9A2896E9-FC32-9044-9080-6C9436ECC5B3}"/>
    <hyperlink ref="R69" r:id="rId216" display="/live_market/dynaContent/live_watch/get_quote/GetQuoteFO.jsp?underlying=BANKNIFTY&amp;instrument=OPTIDX&amp;strike=26800.00&amp;type=PE&amp;expiry=24DEC2020" xr:uid="{9D737F49-11AD-AC45-983B-5D0EEAF8469C}"/>
    <hyperlink ref="W69" r:id="rId217" display="javascript:chartPopup('BANKNIFTY', 'OPTIDX', '24DEC2020', '26800.00','PE','NIFTY PSE');" xr:uid="{F3DB10F7-3D49-E74C-AC6E-606D43EBCAA3}"/>
    <hyperlink ref="A70" r:id="rId218" display="javascript:chartPopup('BANKNIFTY', 'OPTIDX', '24DEC2020', '26900.00','CE','NIFTY PSE');" xr:uid="{3A5DB3F5-2BC6-EE44-A9E5-AFF8594D25F4}"/>
    <hyperlink ref="L70" r:id="rId219" display="/live_market/dynaContent/live_watch/option_chain/optionDates.jsp?symbol=BANKNIFTY&amp;instrument=OPTIDX&amp;strike=26900.00" xr:uid="{3A3CEA6D-CFD8-0A47-9C9B-D41E38A9D54E}"/>
    <hyperlink ref="R70" r:id="rId220" display="/live_market/dynaContent/live_watch/get_quote/GetQuoteFO.jsp?underlying=BANKNIFTY&amp;instrument=OPTIDX&amp;strike=26900.00&amp;type=PE&amp;expiry=24DEC2020" xr:uid="{62949EF3-D2B7-FB42-8980-7976AE143CFC}"/>
    <hyperlink ref="W70" r:id="rId221" display="javascript:chartPopup('BANKNIFTY', 'OPTIDX', '24DEC2020', '26900.00','PE','NIFTY PSE');" xr:uid="{4A31231D-09BB-574F-A8DC-17284961FE1C}"/>
    <hyperlink ref="A71" r:id="rId222" display="javascript:chartPopup('BANKNIFTY', 'OPTIDX', '24DEC2020', '27000.00','CE','NIFTY PSE');" xr:uid="{A82420B2-28C3-8B47-908A-4D0BACCCDFA7}"/>
    <hyperlink ref="F71" r:id="rId223" display="/live_market/dynaContent/live_watch/get_quote/GetQuoteFO.jsp?underlying=BANKNIFTY&amp;instrument=OPTIDX&amp;strike=27000.00&amp;type=CE&amp;expiry=24DEC2020" xr:uid="{BBA428E0-211B-D546-9231-4BEF39A82BC8}"/>
    <hyperlink ref="L71" r:id="rId224" display="/live_market/dynaContent/live_watch/option_chain/optionDates.jsp?symbol=BANKNIFTY&amp;instrument=OPTIDX&amp;strike=27000.00" xr:uid="{469DEC4B-A349-D64B-907B-D050F67E4C7D}"/>
    <hyperlink ref="R71" r:id="rId225" display="/live_market/dynaContent/live_watch/get_quote/GetQuoteFO.jsp?underlying=BANKNIFTY&amp;instrument=OPTIDX&amp;strike=27000.00&amp;type=PE&amp;expiry=24DEC2020" xr:uid="{5EAB3F4D-07F4-1D4D-AE8C-F7D91969301D}"/>
    <hyperlink ref="W71" r:id="rId226" display="javascript:chartPopup('BANKNIFTY', 'OPTIDX', '24DEC2020', '27000.00','PE','NIFTY PSE');" xr:uid="{D239BA83-23B4-3247-A6E5-CF70C0A9F4BF}"/>
    <hyperlink ref="A72" r:id="rId227" display="javascript:chartPopup('BANKNIFTY', 'OPTIDX', '24DEC2020', '27100.00','CE','NIFTY PSE');" xr:uid="{9A1A9B55-41D4-FA49-B6C1-419BA306FD78}"/>
    <hyperlink ref="F72" r:id="rId228" display="/live_market/dynaContent/live_watch/get_quote/GetQuoteFO.jsp?underlying=BANKNIFTY&amp;instrument=OPTIDX&amp;strike=27100.00&amp;type=CE&amp;expiry=24DEC2020" xr:uid="{ECACC3FF-FE76-4D4B-BF3D-248C0BB74A0B}"/>
    <hyperlink ref="L72" r:id="rId229" display="/live_market/dynaContent/live_watch/option_chain/optionDates.jsp?symbol=BANKNIFTY&amp;instrument=OPTIDX&amp;strike=27100.00" xr:uid="{B508195A-1F17-8C4C-9A33-95B52A2A01A7}"/>
    <hyperlink ref="R72" r:id="rId230" display="/live_market/dynaContent/live_watch/get_quote/GetQuoteFO.jsp?underlying=BANKNIFTY&amp;instrument=OPTIDX&amp;strike=27100.00&amp;type=PE&amp;expiry=24DEC2020" xr:uid="{29AE346B-5D20-774C-B37F-D85D3CF7D279}"/>
    <hyperlink ref="W72" r:id="rId231" display="javascript:chartPopup('BANKNIFTY', 'OPTIDX', '24DEC2020', '27100.00','PE','NIFTY PSE');" xr:uid="{52A82BD6-EAD4-C74D-888D-DF9AF05558B9}"/>
    <hyperlink ref="A73" r:id="rId232" display="javascript:chartPopup('BANKNIFTY', 'OPTIDX', '24DEC2020', '27200.00','CE','NIFTY PSE');" xr:uid="{CA706533-8E2C-2C46-BD1B-B1E7D563070B}"/>
    <hyperlink ref="L73" r:id="rId233" display="/live_market/dynaContent/live_watch/option_chain/optionDates.jsp?symbol=BANKNIFTY&amp;instrument=OPTIDX&amp;strike=27200.00" xr:uid="{0546B79A-2417-D742-B688-156EA8F984F2}"/>
    <hyperlink ref="R73" r:id="rId234" display="/live_market/dynaContent/live_watch/get_quote/GetQuoteFO.jsp?underlying=BANKNIFTY&amp;instrument=OPTIDX&amp;strike=27200.00&amp;type=PE&amp;expiry=24DEC2020" xr:uid="{2C9DE8CB-022C-DB4A-903D-D99CDAE1D643}"/>
    <hyperlink ref="W73" r:id="rId235" display="javascript:chartPopup('BANKNIFTY', 'OPTIDX', '24DEC2020', '27200.00','PE','NIFTY PSE');" xr:uid="{30A4DA67-D53E-D440-B470-B490DADC6B10}"/>
    <hyperlink ref="A74" r:id="rId236" display="javascript:chartPopup('BANKNIFTY', 'OPTIDX', '24DEC2020', '27300.00','CE','NIFTY PSE');" xr:uid="{AD1E198C-EBF5-F645-A597-5EAD97933ED0}"/>
    <hyperlink ref="L74" r:id="rId237" display="/live_market/dynaContent/live_watch/option_chain/optionDates.jsp?symbol=BANKNIFTY&amp;instrument=OPTIDX&amp;strike=27300.00" xr:uid="{0ACA01BD-15E4-5849-81AB-D95591092A3D}"/>
    <hyperlink ref="R74" r:id="rId238" display="/live_market/dynaContent/live_watch/get_quote/GetQuoteFO.jsp?underlying=BANKNIFTY&amp;instrument=OPTIDX&amp;strike=27300.00&amp;type=PE&amp;expiry=24DEC2020" xr:uid="{B803AF1E-71B7-AE4E-9D08-097920477EC2}"/>
    <hyperlink ref="W74" r:id="rId239" display="javascript:chartPopup('BANKNIFTY', 'OPTIDX', '24DEC2020', '27300.00','PE','NIFTY PSE');" xr:uid="{9961D1DC-6AA6-8145-9BD2-4781D03D5F2F}"/>
    <hyperlink ref="A75" r:id="rId240" display="javascript:chartPopup('BANKNIFTY', 'OPTIDX', '24DEC2020', '27400.00','CE','NIFTY PSE');" xr:uid="{DFC4BEA5-17F2-9E46-BB12-EA70675591BF}"/>
    <hyperlink ref="F75" r:id="rId241" display="/live_market/dynaContent/live_watch/get_quote/GetQuoteFO.jsp?underlying=BANKNIFTY&amp;instrument=OPTIDX&amp;strike=27400.00&amp;type=CE&amp;expiry=24DEC2020" xr:uid="{B2DEB4D0-E652-3E4A-AEF8-45D1226C73F7}"/>
    <hyperlink ref="L75" r:id="rId242" display="/live_market/dynaContent/live_watch/option_chain/optionDates.jsp?symbol=BANKNIFTY&amp;instrument=OPTIDX&amp;strike=27400.00" xr:uid="{6503001F-A97C-0B47-8057-A7C9C686789E}"/>
    <hyperlink ref="R75" r:id="rId243" display="/live_market/dynaContent/live_watch/get_quote/GetQuoteFO.jsp?underlying=BANKNIFTY&amp;instrument=OPTIDX&amp;strike=27400.00&amp;type=PE&amp;expiry=24DEC2020" xr:uid="{C2C58FFF-E01F-8645-BC62-B27D4D7444BC}"/>
    <hyperlink ref="W75" r:id="rId244" display="javascript:chartPopup('BANKNIFTY', 'OPTIDX', '24DEC2020', '27400.00','PE','NIFTY PSE');" xr:uid="{5A509188-2B53-6F4F-B375-590D2DA3EE3C}"/>
    <hyperlink ref="A76" r:id="rId245" display="javascript:chartPopup('BANKNIFTY', 'OPTIDX', '24DEC2020', '27500.00','CE','NIFTY PSE');" xr:uid="{F5B7CD59-7DF3-FD4E-83CB-A7C1D201FEF5}"/>
    <hyperlink ref="F76" r:id="rId246" display="/live_market/dynaContent/live_watch/get_quote/GetQuoteFO.jsp?underlying=BANKNIFTY&amp;instrument=OPTIDX&amp;strike=27500.00&amp;type=CE&amp;expiry=24DEC2020" xr:uid="{72366ED0-651C-DC47-A97A-C96EF7EA8A27}"/>
    <hyperlink ref="L76" r:id="rId247" display="/live_market/dynaContent/live_watch/option_chain/optionDates.jsp?symbol=BANKNIFTY&amp;instrument=OPTIDX&amp;strike=27500.00" xr:uid="{6CABF775-46DA-B346-AF01-A0FBD88AFAA2}"/>
    <hyperlink ref="R76" r:id="rId248" display="/live_market/dynaContent/live_watch/get_quote/GetQuoteFO.jsp?underlying=BANKNIFTY&amp;instrument=OPTIDX&amp;strike=27500.00&amp;type=PE&amp;expiry=24DEC2020" xr:uid="{3F2879FF-3043-B145-8A53-06E26980EC51}"/>
    <hyperlink ref="W76" r:id="rId249" display="javascript:chartPopup('BANKNIFTY', 'OPTIDX', '24DEC2020', '27500.00','PE','NIFTY PSE');" xr:uid="{FF0E9B8E-C5E2-8C42-93E2-253836861ECB}"/>
    <hyperlink ref="A77" r:id="rId250" display="javascript:chartPopup('BANKNIFTY', 'OPTIDX', '24DEC2020', '27600.00','CE','NIFTY PSE');" xr:uid="{8D6A64A6-7739-8A4A-A5AD-F9A8A61FDA83}"/>
    <hyperlink ref="L77" r:id="rId251" display="/live_market/dynaContent/live_watch/option_chain/optionDates.jsp?symbol=BANKNIFTY&amp;instrument=OPTIDX&amp;strike=27600.00" xr:uid="{4094FC23-5D2C-9C4B-8582-E2B67224F2A8}"/>
    <hyperlink ref="R77" r:id="rId252" display="/live_market/dynaContent/live_watch/get_quote/GetQuoteFO.jsp?underlying=BANKNIFTY&amp;instrument=OPTIDX&amp;strike=27600.00&amp;type=PE&amp;expiry=24DEC2020" xr:uid="{B8E67017-6415-3E4E-BF68-7F1305051699}"/>
    <hyperlink ref="W77" r:id="rId253" display="javascript:chartPopup('BANKNIFTY', 'OPTIDX', '24DEC2020', '27600.00','PE','NIFTY PSE');" xr:uid="{6D09883B-6F6D-9A49-B0EB-35550A22D9C6}"/>
    <hyperlink ref="A78" r:id="rId254" display="javascript:chartPopup('BANKNIFTY', 'OPTIDX', '24DEC2020', '27700.00','CE','NIFTY PSE');" xr:uid="{8526A829-6933-E14C-A8AB-EACF68EC0115}"/>
    <hyperlink ref="L78" r:id="rId255" display="/live_market/dynaContent/live_watch/option_chain/optionDates.jsp?symbol=BANKNIFTY&amp;instrument=OPTIDX&amp;strike=27700.00" xr:uid="{9D8C7F4E-BFB5-934E-9944-BC632C4D27B5}"/>
    <hyperlink ref="R78" r:id="rId256" display="/live_market/dynaContent/live_watch/get_quote/GetQuoteFO.jsp?underlying=BANKNIFTY&amp;instrument=OPTIDX&amp;strike=27700.00&amp;type=PE&amp;expiry=24DEC2020" xr:uid="{8E17AB46-837B-A545-A69C-43C1C45922AC}"/>
    <hyperlink ref="W78" r:id="rId257" display="javascript:chartPopup('BANKNIFTY', 'OPTIDX', '24DEC2020', '27700.00','PE','NIFTY PSE');" xr:uid="{5E466C32-9735-0844-9303-9B2BF6414567}"/>
    <hyperlink ref="A79" r:id="rId258" display="javascript:chartPopup('BANKNIFTY', 'OPTIDX', '24DEC2020', '27800.00','CE','NIFTY PSE');" xr:uid="{647B6D09-4727-D34C-AE03-29DE75950DD9}"/>
    <hyperlink ref="L79" r:id="rId259" display="/live_market/dynaContent/live_watch/option_chain/optionDates.jsp?symbol=BANKNIFTY&amp;instrument=OPTIDX&amp;strike=27800.00" xr:uid="{A57243EB-8A36-EE47-BB07-A21B7D810373}"/>
    <hyperlink ref="R79" r:id="rId260" display="/live_market/dynaContent/live_watch/get_quote/GetQuoteFO.jsp?underlying=BANKNIFTY&amp;instrument=OPTIDX&amp;strike=27800.00&amp;type=PE&amp;expiry=24DEC2020" xr:uid="{FC448464-E7EA-7041-A137-5D9522AE24F2}"/>
    <hyperlink ref="W79" r:id="rId261" display="javascript:chartPopup('BANKNIFTY', 'OPTIDX', '24DEC2020', '27800.00','PE','NIFTY PSE');" xr:uid="{F21039C7-435A-D14D-B171-E4FD00093364}"/>
    <hyperlink ref="A80" r:id="rId262" display="javascript:chartPopup('BANKNIFTY', 'OPTIDX', '24DEC2020', '27900.00','CE','NIFTY PSE');" xr:uid="{51EE3FF9-BD02-C24C-A455-69F5BA76424F}"/>
    <hyperlink ref="L80" r:id="rId263" display="/live_market/dynaContent/live_watch/option_chain/optionDates.jsp?symbol=BANKNIFTY&amp;instrument=OPTIDX&amp;strike=27900.00" xr:uid="{2BC38909-B5DC-BE45-A4B0-810881E92694}"/>
    <hyperlink ref="R80" r:id="rId264" display="/live_market/dynaContent/live_watch/get_quote/GetQuoteFO.jsp?underlying=BANKNIFTY&amp;instrument=OPTIDX&amp;strike=27900.00&amp;type=PE&amp;expiry=24DEC2020" xr:uid="{BACDA9AF-DFF7-DC4A-9B35-9E817DC6A168}"/>
    <hyperlink ref="W80" r:id="rId265" display="javascript:chartPopup('BANKNIFTY', 'OPTIDX', '24DEC2020', '27900.00','PE','NIFTY PSE');" xr:uid="{CD54C82E-A565-1D48-91A5-647431C12974}"/>
    <hyperlink ref="A81" r:id="rId266" display="javascript:chartPopup('BANKNIFTY', 'OPTIDX', '24DEC2020', '28000.00','CE','NIFTY PSE');" xr:uid="{336227E2-6B36-5D41-822E-598DE9791F6A}"/>
    <hyperlink ref="F81" r:id="rId267" display="/live_market/dynaContent/live_watch/get_quote/GetQuoteFO.jsp?underlying=BANKNIFTY&amp;instrument=OPTIDX&amp;strike=28000.00&amp;type=CE&amp;expiry=24DEC2020" xr:uid="{9D009DBB-37EB-1E49-A474-F45D40888CE8}"/>
    <hyperlink ref="L81" r:id="rId268" display="/live_market/dynaContent/live_watch/option_chain/optionDates.jsp?symbol=BANKNIFTY&amp;instrument=OPTIDX&amp;strike=28000.00" xr:uid="{F4467C11-F577-0E47-ACBB-EB6E7BA8DFDF}"/>
    <hyperlink ref="R81" r:id="rId269" display="/live_market/dynaContent/live_watch/get_quote/GetQuoteFO.jsp?underlying=BANKNIFTY&amp;instrument=OPTIDX&amp;strike=28000.00&amp;type=PE&amp;expiry=24DEC2020" xr:uid="{865D8E9D-A19A-724D-A5B5-F7F392D63E0B}"/>
    <hyperlink ref="W81" r:id="rId270" display="javascript:chartPopup('BANKNIFTY', 'OPTIDX', '24DEC2020', '28000.00','PE','NIFTY PSE');" xr:uid="{F87E3B94-12A0-CF49-9FAF-258917E0052A}"/>
    <hyperlink ref="A82" r:id="rId271" display="javascript:chartPopup('BANKNIFTY', 'OPTIDX', '24DEC2020', '28100.00','CE','NIFTY PSE');" xr:uid="{B4B8BE7C-872D-3B44-B5F6-DEAC855F1950}"/>
    <hyperlink ref="L82" r:id="rId272" display="/live_market/dynaContent/live_watch/option_chain/optionDates.jsp?symbol=BANKNIFTY&amp;instrument=OPTIDX&amp;strike=28100.00" xr:uid="{B6DD48CE-A554-4B42-8383-83EC891C35AD}"/>
    <hyperlink ref="R82" r:id="rId273" display="/live_market/dynaContent/live_watch/get_quote/GetQuoteFO.jsp?underlying=BANKNIFTY&amp;instrument=OPTIDX&amp;strike=28100.00&amp;type=PE&amp;expiry=24DEC2020" xr:uid="{BCFB27C3-1EC0-DA4A-82E6-38A9CCD1ADB3}"/>
    <hyperlink ref="W82" r:id="rId274" display="javascript:chartPopup('BANKNIFTY', 'OPTIDX', '24DEC2020', '28100.00','PE','NIFTY PSE');" xr:uid="{FCCC39E4-B20C-114F-BE6C-81DC9DCD2809}"/>
    <hyperlink ref="A83" r:id="rId275" display="javascript:chartPopup('BANKNIFTY', 'OPTIDX', '24DEC2020', '28200.00','CE','NIFTY PSE');" xr:uid="{F9DAADD9-CBC6-254D-99BA-F464233F44DC}"/>
    <hyperlink ref="L83" r:id="rId276" display="/live_market/dynaContent/live_watch/option_chain/optionDates.jsp?symbol=BANKNIFTY&amp;instrument=OPTIDX&amp;strike=28200.00" xr:uid="{4714B3E8-598C-B64E-AA19-3B13756E75DB}"/>
    <hyperlink ref="R83" r:id="rId277" display="/live_market/dynaContent/live_watch/get_quote/GetQuoteFO.jsp?underlying=BANKNIFTY&amp;instrument=OPTIDX&amp;strike=28200.00&amp;type=PE&amp;expiry=24DEC2020" xr:uid="{7517E512-F160-DA44-8275-486CB410F61D}"/>
    <hyperlink ref="W83" r:id="rId278" display="javascript:chartPopup('BANKNIFTY', 'OPTIDX', '24DEC2020', '28200.00','PE','NIFTY PSE');" xr:uid="{0F5AECA6-F86E-5C46-9E6E-37618DDB5A9C}"/>
    <hyperlink ref="A84" r:id="rId279" display="javascript:chartPopup('BANKNIFTY', 'OPTIDX', '24DEC2020', '28300.00','CE','NIFTY PSE');" xr:uid="{47F0EA34-0116-5546-8CC8-0E9B5C887989}"/>
    <hyperlink ref="L84" r:id="rId280" display="/live_market/dynaContent/live_watch/option_chain/optionDates.jsp?symbol=BANKNIFTY&amp;instrument=OPTIDX&amp;strike=28300.00" xr:uid="{275D03D3-FCCE-414E-AECD-697EAE78B800}"/>
    <hyperlink ref="R84" r:id="rId281" display="/live_market/dynaContent/live_watch/get_quote/GetQuoteFO.jsp?underlying=BANKNIFTY&amp;instrument=OPTIDX&amp;strike=28300.00&amp;type=PE&amp;expiry=24DEC2020" xr:uid="{A5EE9826-133B-4F40-B187-27009387738F}"/>
    <hyperlink ref="W84" r:id="rId282" display="javascript:chartPopup('BANKNIFTY', 'OPTIDX', '24DEC2020', '28300.00','PE','NIFTY PSE');" xr:uid="{FB3686C5-C2D2-2244-9E0B-765D61870E0A}"/>
    <hyperlink ref="A85" r:id="rId283" display="javascript:chartPopup('BANKNIFTY', 'OPTIDX', '24DEC2020', '28400.00','CE','NIFTY PSE');" xr:uid="{51CB997F-E6A5-4746-A2FB-A8FDB25622A1}"/>
    <hyperlink ref="L85" r:id="rId284" display="/live_market/dynaContent/live_watch/option_chain/optionDates.jsp?symbol=BANKNIFTY&amp;instrument=OPTIDX&amp;strike=28400.00" xr:uid="{308ABD61-8BE9-DF4C-8985-6DCFFDACD9E4}"/>
    <hyperlink ref="R85" r:id="rId285" display="/live_market/dynaContent/live_watch/get_quote/GetQuoteFO.jsp?underlying=BANKNIFTY&amp;instrument=OPTIDX&amp;strike=28400.00&amp;type=PE&amp;expiry=24DEC2020" xr:uid="{AB3D799D-BFE4-2543-9C46-614B3F816C1A}"/>
    <hyperlink ref="W85" r:id="rId286" display="javascript:chartPopup('BANKNIFTY', 'OPTIDX', '24DEC2020', '28400.00','PE','NIFTY PSE');" xr:uid="{324D7A55-91FD-7E4A-98F2-51AE05AC2179}"/>
    <hyperlink ref="A86" r:id="rId287" display="javascript:chartPopup('BANKNIFTY', 'OPTIDX', '24DEC2020', '28500.00','CE','NIFTY PSE');" xr:uid="{F3F19F43-0F7E-574D-8216-8BB465510B2F}"/>
    <hyperlink ref="F86" r:id="rId288" display="/live_market/dynaContent/live_watch/get_quote/GetQuoteFO.jsp?underlying=BANKNIFTY&amp;instrument=OPTIDX&amp;strike=28500.00&amp;type=CE&amp;expiry=24DEC2020" xr:uid="{39FB8F69-F4E3-7440-9713-6DA450DF3959}"/>
    <hyperlink ref="L86" r:id="rId289" display="/live_market/dynaContent/live_watch/option_chain/optionDates.jsp?symbol=BANKNIFTY&amp;instrument=OPTIDX&amp;strike=28500.00" xr:uid="{77FE6838-AE6F-9340-9261-9FB998EBC734}"/>
    <hyperlink ref="R86" r:id="rId290" display="/live_market/dynaContent/live_watch/get_quote/GetQuoteFO.jsp?underlying=BANKNIFTY&amp;instrument=OPTIDX&amp;strike=28500.00&amp;type=PE&amp;expiry=24DEC2020" xr:uid="{D94E4184-63EF-014A-81C4-668CB5BF82FF}"/>
    <hyperlink ref="W86" r:id="rId291" display="javascript:chartPopup('BANKNIFTY', 'OPTIDX', '24DEC2020', '28500.00','PE','NIFTY PSE');" xr:uid="{B73DEAE1-4B97-6C4F-AFC1-78D2631A70E6}"/>
    <hyperlink ref="A87" r:id="rId292" display="javascript:chartPopup('BANKNIFTY', 'OPTIDX', '24DEC2020', '28600.00','CE','NIFTY PSE');" xr:uid="{6788F202-9F85-0646-9FE8-378C308E15BF}"/>
    <hyperlink ref="F87" r:id="rId293" display="/live_market/dynaContent/live_watch/get_quote/GetQuoteFO.jsp?underlying=BANKNIFTY&amp;instrument=OPTIDX&amp;strike=28600.00&amp;type=CE&amp;expiry=24DEC2020" xr:uid="{3E63569F-73F5-5345-8FA2-E2319A18DBB5}"/>
    <hyperlink ref="L87" r:id="rId294" display="/live_market/dynaContent/live_watch/option_chain/optionDates.jsp?symbol=BANKNIFTY&amp;instrument=OPTIDX&amp;strike=28600.00" xr:uid="{213360F3-B41D-394B-8023-2F00F4904145}"/>
    <hyperlink ref="R87" r:id="rId295" display="/live_market/dynaContent/live_watch/get_quote/GetQuoteFO.jsp?underlying=BANKNIFTY&amp;instrument=OPTIDX&amp;strike=28600.00&amp;type=PE&amp;expiry=24DEC2020" xr:uid="{571EE5B2-ECE9-004E-92E3-74217278A3E4}"/>
    <hyperlink ref="W87" r:id="rId296" display="javascript:chartPopup('BANKNIFTY', 'OPTIDX', '24DEC2020', '28600.00','PE','NIFTY PSE');" xr:uid="{360E5824-B4B6-A64D-9C52-1969B3047865}"/>
    <hyperlink ref="A88" r:id="rId297" display="javascript:chartPopup('BANKNIFTY', 'OPTIDX', '24DEC2020', '28700.00','CE','NIFTY PSE');" xr:uid="{C9E1A4DA-F5D8-B14B-888B-3852458E1389}"/>
    <hyperlink ref="F88" r:id="rId298" display="/live_market/dynaContent/live_watch/get_quote/GetQuoteFO.jsp?underlying=BANKNIFTY&amp;instrument=OPTIDX&amp;strike=28700.00&amp;type=CE&amp;expiry=24DEC2020" xr:uid="{566E5D2F-B1D0-A945-8B65-72E7CFFD81CF}"/>
    <hyperlink ref="L88" r:id="rId299" display="/live_market/dynaContent/live_watch/option_chain/optionDates.jsp?symbol=BANKNIFTY&amp;instrument=OPTIDX&amp;strike=28700.00" xr:uid="{6F702C53-E4AC-CA4C-8761-27BAECFC71C1}"/>
    <hyperlink ref="R88" r:id="rId300" display="/live_market/dynaContent/live_watch/get_quote/GetQuoteFO.jsp?underlying=BANKNIFTY&amp;instrument=OPTIDX&amp;strike=28700.00&amp;type=PE&amp;expiry=24DEC2020" xr:uid="{CE492232-9867-2E42-BE9D-5A0728C084F8}"/>
    <hyperlink ref="W88" r:id="rId301" display="javascript:chartPopup('BANKNIFTY', 'OPTIDX', '24DEC2020', '28700.00','PE','NIFTY PSE');" xr:uid="{0D675648-188F-B740-996E-4E5B9F7FE330}"/>
    <hyperlink ref="A89" r:id="rId302" display="javascript:chartPopup('BANKNIFTY', 'OPTIDX', '24DEC2020', '28800.00','CE','NIFTY PSE');" xr:uid="{037A11D4-9359-0746-82C0-2B152B594882}"/>
    <hyperlink ref="F89" r:id="rId303" display="/live_market/dynaContent/live_watch/get_quote/GetQuoteFO.jsp?underlying=BANKNIFTY&amp;instrument=OPTIDX&amp;strike=28800.00&amp;type=CE&amp;expiry=24DEC2020" xr:uid="{0F2C62AF-1A90-C44C-844A-D29A5A7337DF}"/>
    <hyperlink ref="L89" r:id="rId304" display="/live_market/dynaContent/live_watch/option_chain/optionDates.jsp?symbol=BANKNIFTY&amp;instrument=OPTIDX&amp;strike=28800.00" xr:uid="{90EAC70F-DA6F-A44B-AACB-04A70E15F278}"/>
    <hyperlink ref="R89" r:id="rId305" display="/live_market/dynaContent/live_watch/get_quote/GetQuoteFO.jsp?underlying=BANKNIFTY&amp;instrument=OPTIDX&amp;strike=28800.00&amp;type=PE&amp;expiry=24DEC2020" xr:uid="{86F826D4-F825-674D-867B-96FAFB4C6668}"/>
    <hyperlink ref="W89" r:id="rId306" display="javascript:chartPopup('BANKNIFTY', 'OPTIDX', '24DEC2020', '28800.00','PE','NIFTY PSE');" xr:uid="{65E00831-1B57-5D43-9FDB-60DE990CDC95}"/>
    <hyperlink ref="A90" r:id="rId307" display="javascript:chartPopup('BANKNIFTY', 'OPTIDX', '24DEC2020', '28900.00','CE','NIFTY PSE');" xr:uid="{6623ABE0-A733-B347-8974-8AD0C834FB49}"/>
    <hyperlink ref="F90" r:id="rId308" display="/live_market/dynaContent/live_watch/get_quote/GetQuoteFO.jsp?underlying=BANKNIFTY&amp;instrument=OPTIDX&amp;strike=28900.00&amp;type=CE&amp;expiry=24DEC2020" xr:uid="{B871B52B-4DB0-0945-A1FF-0C903498BF2A}"/>
    <hyperlink ref="L90" r:id="rId309" display="/live_market/dynaContent/live_watch/option_chain/optionDates.jsp?symbol=BANKNIFTY&amp;instrument=OPTIDX&amp;strike=28900.00" xr:uid="{0E807F39-B66A-EE4D-B815-79FCB9422466}"/>
    <hyperlink ref="R90" r:id="rId310" display="/live_market/dynaContent/live_watch/get_quote/GetQuoteFO.jsp?underlying=BANKNIFTY&amp;instrument=OPTIDX&amp;strike=28900.00&amp;type=PE&amp;expiry=24DEC2020" xr:uid="{64994FF0-6045-AD4C-AB4A-8B02DC2EBAF3}"/>
    <hyperlink ref="W90" r:id="rId311" display="javascript:chartPopup('BANKNIFTY', 'OPTIDX', '24DEC2020', '28900.00','PE','NIFTY PSE');" xr:uid="{E7DE5F06-B295-6D4C-AFCB-4452376747EE}"/>
    <hyperlink ref="A91" r:id="rId312" display="javascript:chartPopup('BANKNIFTY', 'OPTIDX', '24DEC2020', '29000.00','CE','NIFTY PSE');" xr:uid="{15426F8E-E641-9441-AF0B-CC21434883B6}"/>
    <hyperlink ref="F91" r:id="rId313" display="/live_market/dynaContent/live_watch/get_quote/GetQuoteFO.jsp?underlying=BANKNIFTY&amp;instrument=OPTIDX&amp;strike=29000.00&amp;type=CE&amp;expiry=24DEC2020" xr:uid="{F9D817DE-F4DD-1240-8674-7BE76BBCDB01}"/>
    <hyperlink ref="L91" r:id="rId314" display="/live_market/dynaContent/live_watch/option_chain/optionDates.jsp?symbol=BANKNIFTY&amp;instrument=OPTIDX&amp;strike=29000.00" xr:uid="{0FB0B461-A4A7-A34B-9C8E-09A80155B1EC}"/>
    <hyperlink ref="R91" r:id="rId315" display="/live_market/dynaContent/live_watch/get_quote/GetQuoteFO.jsp?underlying=BANKNIFTY&amp;instrument=OPTIDX&amp;strike=29000.00&amp;type=PE&amp;expiry=24DEC2020" xr:uid="{15DCDBAA-3804-D74C-B818-107E05424FD3}"/>
    <hyperlink ref="W91" r:id="rId316" display="javascript:chartPopup('BANKNIFTY', 'OPTIDX', '24DEC2020', '29000.00','PE','NIFTY PSE');" xr:uid="{DB6E8AAD-5AEB-7540-9ED9-D5BF061A24C9}"/>
    <hyperlink ref="A92" r:id="rId317" display="javascript:chartPopup('BANKNIFTY', 'OPTIDX', '24DEC2020', '29100.00','CE','NIFTY PSE');" xr:uid="{FF43DABF-B0D6-324F-AE74-6E6C2D0BF66D}"/>
    <hyperlink ref="F92" r:id="rId318" display="/live_market/dynaContent/live_watch/get_quote/GetQuoteFO.jsp?underlying=BANKNIFTY&amp;instrument=OPTIDX&amp;strike=29100.00&amp;type=CE&amp;expiry=24DEC2020" xr:uid="{1F69F99F-A7B6-EF43-93EE-7C9C069AC29D}"/>
    <hyperlink ref="L92" r:id="rId319" display="/live_market/dynaContent/live_watch/option_chain/optionDates.jsp?symbol=BANKNIFTY&amp;instrument=OPTIDX&amp;strike=29100.00" xr:uid="{845E6A6F-CAB7-D043-93A2-FDAE90725B32}"/>
    <hyperlink ref="R92" r:id="rId320" display="/live_market/dynaContent/live_watch/get_quote/GetQuoteFO.jsp?underlying=BANKNIFTY&amp;instrument=OPTIDX&amp;strike=29100.00&amp;type=PE&amp;expiry=24DEC2020" xr:uid="{0FD4233E-0D37-024B-A8CC-F05831DCB02C}"/>
    <hyperlink ref="W92" r:id="rId321" display="javascript:chartPopup('BANKNIFTY', 'OPTIDX', '24DEC2020', '29100.00','PE','NIFTY PSE');" xr:uid="{E0DD2704-5734-2F4A-8BCE-E281D44A2AC0}"/>
    <hyperlink ref="A93" r:id="rId322" display="javascript:chartPopup('BANKNIFTY', 'OPTIDX', '24DEC2020', '29200.00','CE','NIFTY PSE');" xr:uid="{3361592E-3F99-B84C-A580-E13B3353C552}"/>
    <hyperlink ref="F93" r:id="rId323" display="/live_market/dynaContent/live_watch/get_quote/GetQuoteFO.jsp?underlying=BANKNIFTY&amp;instrument=OPTIDX&amp;strike=29200.00&amp;type=CE&amp;expiry=24DEC2020" xr:uid="{E877C012-3600-D348-ACBC-AEC700723B9E}"/>
    <hyperlink ref="L93" r:id="rId324" display="/live_market/dynaContent/live_watch/option_chain/optionDates.jsp?symbol=BANKNIFTY&amp;instrument=OPTIDX&amp;strike=29200.00" xr:uid="{A4212D5A-1114-5347-A3E2-0DD7C9D43DA2}"/>
    <hyperlink ref="R93" r:id="rId325" display="/live_market/dynaContent/live_watch/get_quote/GetQuoteFO.jsp?underlying=BANKNIFTY&amp;instrument=OPTIDX&amp;strike=29200.00&amp;type=PE&amp;expiry=24DEC2020" xr:uid="{98BCE0AC-D1C2-A941-9A47-8145D4F45DBC}"/>
    <hyperlink ref="W93" r:id="rId326" display="javascript:chartPopup('BANKNIFTY', 'OPTIDX', '24DEC2020', '29200.00','PE','NIFTY PSE');" xr:uid="{9AB9BFEE-0A1F-CC40-80EB-1A33E0A78276}"/>
    <hyperlink ref="A94" r:id="rId327" display="javascript:chartPopup('BANKNIFTY', 'OPTIDX', '24DEC2020', '29300.00','CE','NIFTY PSE');" xr:uid="{347CBFDB-DF4B-0946-838A-CB74A0712919}"/>
    <hyperlink ref="F94" r:id="rId328" display="/live_market/dynaContent/live_watch/get_quote/GetQuoteFO.jsp?underlying=BANKNIFTY&amp;instrument=OPTIDX&amp;strike=29300.00&amp;type=CE&amp;expiry=24DEC2020" xr:uid="{0BD32DCB-8338-F541-9451-B564EB0DB87F}"/>
    <hyperlink ref="L94" r:id="rId329" display="/live_market/dynaContent/live_watch/option_chain/optionDates.jsp?symbol=BANKNIFTY&amp;instrument=OPTIDX&amp;strike=29300.00" xr:uid="{65818AAD-2ABF-2144-BFA4-64D281E5B59A}"/>
    <hyperlink ref="R94" r:id="rId330" display="/live_market/dynaContent/live_watch/get_quote/GetQuoteFO.jsp?underlying=BANKNIFTY&amp;instrument=OPTIDX&amp;strike=29300.00&amp;type=PE&amp;expiry=24DEC2020" xr:uid="{A333B260-724C-A446-8C42-6B68BF0C03D2}"/>
    <hyperlink ref="W94" r:id="rId331" display="javascript:chartPopup('BANKNIFTY', 'OPTIDX', '24DEC2020', '29300.00','PE','NIFTY PSE');" xr:uid="{0BE600FA-ABA7-0141-95FA-2A72D52DA332}"/>
    <hyperlink ref="A95" r:id="rId332" display="javascript:chartPopup('BANKNIFTY', 'OPTIDX', '24DEC2020', '29400.00','CE','NIFTY PSE');" xr:uid="{36C5ED88-DB54-8845-ADB1-CD791BD1EAA7}"/>
    <hyperlink ref="F95" r:id="rId333" display="/live_market/dynaContent/live_watch/get_quote/GetQuoteFO.jsp?underlying=BANKNIFTY&amp;instrument=OPTIDX&amp;strike=29400.00&amp;type=CE&amp;expiry=24DEC2020" xr:uid="{31CCCC21-655E-994B-A5E2-6383251C1AAE}"/>
    <hyperlink ref="L95" r:id="rId334" display="/live_market/dynaContent/live_watch/option_chain/optionDates.jsp?symbol=BANKNIFTY&amp;instrument=OPTIDX&amp;strike=29400.00" xr:uid="{C2BA6BDC-7AA5-AD40-954B-F3196575B736}"/>
    <hyperlink ref="R95" r:id="rId335" display="/live_market/dynaContent/live_watch/get_quote/GetQuoteFO.jsp?underlying=BANKNIFTY&amp;instrument=OPTIDX&amp;strike=29400.00&amp;type=PE&amp;expiry=24DEC2020" xr:uid="{DD4182CB-3167-9246-A575-0E0A5BDADDD3}"/>
    <hyperlink ref="W95" r:id="rId336" display="javascript:chartPopup('BANKNIFTY', 'OPTIDX', '24DEC2020', '29400.00','PE','NIFTY PSE');" xr:uid="{1939C5CA-B0D2-294C-90E4-67A69319E78A}"/>
    <hyperlink ref="A96" r:id="rId337" display="javascript:chartPopup('BANKNIFTY', 'OPTIDX', '24DEC2020', '29500.00','CE','NIFTY PSE');" xr:uid="{08E82B19-09CF-524E-BAFA-0AA95AC1E76F}"/>
    <hyperlink ref="F96" r:id="rId338" display="/live_market/dynaContent/live_watch/get_quote/GetQuoteFO.jsp?underlying=BANKNIFTY&amp;instrument=OPTIDX&amp;strike=29500.00&amp;type=CE&amp;expiry=24DEC2020" xr:uid="{AFD1E7BD-FA18-5F45-A4BE-D0B0114B13B6}"/>
    <hyperlink ref="L96" r:id="rId339" display="/live_market/dynaContent/live_watch/option_chain/optionDates.jsp?symbol=BANKNIFTY&amp;instrument=OPTIDX&amp;strike=29500.00" xr:uid="{804A14F1-6780-9341-B9CC-1F0A6F8D9408}"/>
    <hyperlink ref="R96" r:id="rId340" display="/live_market/dynaContent/live_watch/get_quote/GetQuoteFO.jsp?underlying=BANKNIFTY&amp;instrument=OPTIDX&amp;strike=29500.00&amp;type=PE&amp;expiry=24DEC2020" xr:uid="{A0C838F5-69D5-3043-A221-B32F4739AE35}"/>
    <hyperlink ref="W96" r:id="rId341" display="javascript:chartPopup('BANKNIFTY', 'OPTIDX', '24DEC2020', '29500.00','PE','NIFTY PSE');" xr:uid="{2D259710-BE68-4A41-A890-0CEFB3630C81}"/>
    <hyperlink ref="A97" r:id="rId342" display="javascript:chartPopup('BANKNIFTY', 'OPTIDX', '24DEC2020', '29600.00','CE','NIFTY PSE');" xr:uid="{EFAF9A1C-9193-254F-B090-94FC4639C12E}"/>
    <hyperlink ref="F97" r:id="rId343" display="/live_market/dynaContent/live_watch/get_quote/GetQuoteFO.jsp?underlying=BANKNIFTY&amp;instrument=OPTIDX&amp;strike=29600.00&amp;type=CE&amp;expiry=24DEC2020" xr:uid="{432806F4-2E57-C340-AD0C-28B5A43D12F5}"/>
    <hyperlink ref="L97" r:id="rId344" display="/live_market/dynaContent/live_watch/option_chain/optionDates.jsp?symbol=BANKNIFTY&amp;instrument=OPTIDX&amp;strike=29600.00" xr:uid="{1BD4F3D7-2870-6549-B9BE-6CAC78CE2F07}"/>
    <hyperlink ref="R97" r:id="rId345" display="/live_market/dynaContent/live_watch/get_quote/GetQuoteFO.jsp?underlying=BANKNIFTY&amp;instrument=OPTIDX&amp;strike=29600.00&amp;type=PE&amp;expiry=24DEC2020" xr:uid="{512137CE-B0FA-7047-9C14-23C92DC67444}"/>
    <hyperlink ref="W97" r:id="rId346" display="javascript:chartPopup('BANKNIFTY', 'OPTIDX', '24DEC2020', '29600.00','PE','NIFTY PSE');" xr:uid="{E1CD517E-8DED-BD42-83E4-46D52CB1503D}"/>
    <hyperlink ref="A98" r:id="rId347" display="javascript:chartPopup('BANKNIFTY', 'OPTIDX', '24DEC2020', '29700.00','CE','NIFTY PSE');" xr:uid="{42DD51AF-A821-EA40-BCA7-C32B71842AC3}"/>
    <hyperlink ref="F98" r:id="rId348" display="/live_market/dynaContent/live_watch/get_quote/GetQuoteFO.jsp?underlying=BANKNIFTY&amp;instrument=OPTIDX&amp;strike=29700.00&amp;type=CE&amp;expiry=24DEC2020" xr:uid="{0507ACC9-D878-A04C-AC29-26DCCB24FA56}"/>
    <hyperlink ref="L98" r:id="rId349" display="/live_market/dynaContent/live_watch/option_chain/optionDates.jsp?symbol=BANKNIFTY&amp;instrument=OPTIDX&amp;strike=29700.00" xr:uid="{10AB22BE-7FC5-E342-8453-D075D1DAB5E2}"/>
    <hyperlink ref="R98" r:id="rId350" display="/live_market/dynaContent/live_watch/get_quote/GetQuoteFO.jsp?underlying=BANKNIFTY&amp;instrument=OPTIDX&amp;strike=29700.00&amp;type=PE&amp;expiry=24DEC2020" xr:uid="{412A2253-7D7C-6146-805C-6A19120955E4}"/>
    <hyperlink ref="W98" r:id="rId351" display="javascript:chartPopup('BANKNIFTY', 'OPTIDX', '24DEC2020', '29700.00','PE','NIFTY PSE');" xr:uid="{61560C5D-90EF-0C4B-85A6-9D7E840DDF75}"/>
    <hyperlink ref="A99" r:id="rId352" display="javascript:chartPopup('BANKNIFTY', 'OPTIDX', '24DEC2020', '29800.00','CE','NIFTY PSE');" xr:uid="{F0C26670-87A2-9844-8F26-A9BEC4C2770B}"/>
    <hyperlink ref="F99" r:id="rId353" display="/live_market/dynaContent/live_watch/get_quote/GetQuoteFO.jsp?underlying=BANKNIFTY&amp;instrument=OPTIDX&amp;strike=29800.00&amp;type=CE&amp;expiry=24DEC2020" xr:uid="{F5270A8C-C1F9-6849-A14B-F51D042900C9}"/>
    <hyperlink ref="L99" r:id="rId354" display="/live_market/dynaContent/live_watch/option_chain/optionDates.jsp?symbol=BANKNIFTY&amp;instrument=OPTIDX&amp;strike=29800.00" xr:uid="{30F67390-EE55-0D45-A9DD-4E1F9B34035D}"/>
    <hyperlink ref="R99" r:id="rId355" display="/live_market/dynaContent/live_watch/get_quote/GetQuoteFO.jsp?underlying=BANKNIFTY&amp;instrument=OPTIDX&amp;strike=29800.00&amp;type=PE&amp;expiry=24DEC2020" xr:uid="{2D36D6F1-4543-BA49-8813-EBF9257E50AD}"/>
    <hyperlink ref="W99" r:id="rId356" display="javascript:chartPopup('BANKNIFTY', 'OPTIDX', '24DEC2020', '29800.00','PE','NIFTY PSE');" xr:uid="{F37E40B0-BD97-B14C-9D37-71B935A7238E}"/>
    <hyperlink ref="A100" r:id="rId357" display="javascript:chartPopup('BANKNIFTY', 'OPTIDX', '24DEC2020', '29900.00','CE','NIFTY PSE');" xr:uid="{30051AF7-EF33-3248-B741-37118152E402}"/>
    <hyperlink ref="F100" r:id="rId358" display="/live_market/dynaContent/live_watch/get_quote/GetQuoteFO.jsp?underlying=BANKNIFTY&amp;instrument=OPTIDX&amp;strike=29900.00&amp;type=CE&amp;expiry=24DEC2020" xr:uid="{225F33C5-C27C-B64C-8729-E7FCAB8B7176}"/>
    <hyperlink ref="L100" r:id="rId359" display="/live_market/dynaContent/live_watch/option_chain/optionDates.jsp?symbol=BANKNIFTY&amp;instrument=OPTIDX&amp;strike=29900.00" xr:uid="{F45B1287-E8AA-334A-9A2D-E7AD806C8110}"/>
    <hyperlink ref="R100" r:id="rId360" display="/live_market/dynaContent/live_watch/get_quote/GetQuoteFO.jsp?underlying=BANKNIFTY&amp;instrument=OPTIDX&amp;strike=29900.00&amp;type=PE&amp;expiry=24DEC2020" xr:uid="{8E2C1053-3D2A-474B-8C44-802214FE5615}"/>
    <hyperlink ref="W100" r:id="rId361" display="javascript:chartPopup('BANKNIFTY', 'OPTIDX', '24DEC2020', '29900.00','PE','NIFTY PSE');" xr:uid="{C7C4EE55-9F60-4D41-8D14-F222C0AF7F72}"/>
    <hyperlink ref="A101" r:id="rId362" display="javascript:chartPopup('BANKNIFTY', 'OPTIDX', '24DEC2020', '30000.00','CE','NIFTY PSE');" xr:uid="{FB31ABC7-4CBC-9F43-BFE4-7C77A401F09B}"/>
    <hyperlink ref="F101" r:id="rId363" display="/live_market/dynaContent/live_watch/get_quote/GetQuoteFO.jsp?underlying=BANKNIFTY&amp;instrument=OPTIDX&amp;strike=30000.00&amp;type=CE&amp;expiry=24DEC2020" xr:uid="{9C1F82DF-6650-EE44-B4EA-A109B837FB0E}"/>
    <hyperlink ref="L101" r:id="rId364" display="/live_market/dynaContent/live_watch/option_chain/optionDates.jsp?symbol=BANKNIFTY&amp;instrument=OPTIDX&amp;strike=30000.00" xr:uid="{107C4A99-BAF1-E24F-8F20-C8F3122C23E7}"/>
    <hyperlink ref="R101" r:id="rId365" display="/live_market/dynaContent/live_watch/get_quote/GetQuoteFO.jsp?underlying=BANKNIFTY&amp;instrument=OPTIDX&amp;strike=30000.00&amp;type=PE&amp;expiry=24DEC2020" xr:uid="{5AEF1BD5-8ACE-4A40-A169-23134376AE98}"/>
    <hyperlink ref="W101" r:id="rId366" display="javascript:chartPopup('BANKNIFTY', 'OPTIDX', '24DEC2020', '30000.00','PE','NIFTY PSE');" xr:uid="{746224E9-D0A8-6643-B830-D5CA65381CDD}"/>
    <hyperlink ref="A102" r:id="rId367" display="javascript:chartPopup('BANKNIFTY', 'OPTIDX', '24DEC2020', '30100.00','CE','NIFTY PSE');" xr:uid="{BD0B6AB6-B5A1-5E4B-B0E3-764B04FE0098}"/>
    <hyperlink ref="F102" r:id="rId368" display="/live_market/dynaContent/live_watch/get_quote/GetQuoteFO.jsp?underlying=BANKNIFTY&amp;instrument=OPTIDX&amp;strike=30100.00&amp;type=CE&amp;expiry=24DEC2020" xr:uid="{800C0A5E-8FD1-9E4F-9255-9C5F19EEE18D}"/>
    <hyperlink ref="L102" r:id="rId369" display="/live_market/dynaContent/live_watch/option_chain/optionDates.jsp?symbol=BANKNIFTY&amp;instrument=OPTIDX&amp;strike=30100.00" xr:uid="{284743F4-C308-A54B-B5C4-B6E5BC128ADE}"/>
    <hyperlink ref="R102" r:id="rId370" display="/live_market/dynaContent/live_watch/get_quote/GetQuoteFO.jsp?underlying=BANKNIFTY&amp;instrument=OPTIDX&amp;strike=30100.00&amp;type=PE&amp;expiry=24DEC2020" xr:uid="{FA045A11-7D27-C143-AA32-842EEF75D129}"/>
    <hyperlink ref="W102" r:id="rId371" display="javascript:chartPopup('BANKNIFTY', 'OPTIDX', '24DEC2020', '30100.00','PE','NIFTY PSE');" xr:uid="{3CC9F3DA-AEBF-684F-9750-B79250D420F3}"/>
    <hyperlink ref="A103" r:id="rId372" display="javascript:chartPopup('BANKNIFTY', 'OPTIDX', '24DEC2020', '30200.00','CE','NIFTY PSE');" xr:uid="{601BEACE-8BF8-A542-BB72-061E2492E732}"/>
    <hyperlink ref="F103" r:id="rId373" display="/live_market/dynaContent/live_watch/get_quote/GetQuoteFO.jsp?underlying=BANKNIFTY&amp;instrument=OPTIDX&amp;strike=30200.00&amp;type=CE&amp;expiry=24DEC2020" xr:uid="{C08D6FB6-141E-D343-9AC1-5562A9F383D9}"/>
    <hyperlink ref="L103" r:id="rId374" display="/live_market/dynaContent/live_watch/option_chain/optionDates.jsp?symbol=BANKNIFTY&amp;instrument=OPTIDX&amp;strike=30200.00" xr:uid="{BF0421D9-877A-A24C-B313-8468C7BC9CCF}"/>
    <hyperlink ref="R103" r:id="rId375" display="/live_market/dynaContent/live_watch/get_quote/GetQuoteFO.jsp?underlying=BANKNIFTY&amp;instrument=OPTIDX&amp;strike=30200.00&amp;type=PE&amp;expiry=24DEC2020" xr:uid="{B1F98530-BC49-BD4F-8FDB-079DAD6C9B0B}"/>
    <hyperlink ref="W103" r:id="rId376" display="javascript:chartPopup('BANKNIFTY', 'OPTIDX', '24DEC2020', '30200.00','PE','NIFTY PSE');" xr:uid="{37F48584-FB9E-A442-A563-692E89272FB9}"/>
    <hyperlink ref="A104" r:id="rId377" display="javascript:chartPopup('BANKNIFTY', 'OPTIDX', '24DEC2020', '30300.00','CE','NIFTY PSE');" xr:uid="{FC697CC3-EA28-114E-9A2F-67A0C0F482F2}"/>
    <hyperlink ref="F104" r:id="rId378" display="/live_market/dynaContent/live_watch/get_quote/GetQuoteFO.jsp?underlying=BANKNIFTY&amp;instrument=OPTIDX&amp;strike=30300.00&amp;type=CE&amp;expiry=24DEC2020" xr:uid="{346C741A-FD1E-2942-B83E-6E0CF3B7ECF1}"/>
    <hyperlink ref="L104" r:id="rId379" display="/live_market/dynaContent/live_watch/option_chain/optionDates.jsp?symbol=BANKNIFTY&amp;instrument=OPTIDX&amp;strike=30300.00" xr:uid="{58A67F6A-E69C-084E-B9AE-C2B960B59934}"/>
    <hyperlink ref="R104" r:id="rId380" display="/live_market/dynaContent/live_watch/get_quote/GetQuoteFO.jsp?underlying=BANKNIFTY&amp;instrument=OPTIDX&amp;strike=30300.00&amp;type=PE&amp;expiry=24DEC2020" xr:uid="{8CF27BBD-822A-CA47-A277-9E57DD17CF05}"/>
    <hyperlink ref="W104" r:id="rId381" display="javascript:chartPopup('BANKNIFTY', 'OPTIDX', '24DEC2020', '30300.00','PE','NIFTY PSE');" xr:uid="{2DA54CD3-D824-C74C-8A99-48A5C620F684}"/>
    <hyperlink ref="A105" r:id="rId382" display="javascript:chartPopup('BANKNIFTY', 'OPTIDX', '24DEC2020', '30400.00','CE','NIFTY PSE');" xr:uid="{86A87DF3-4D5F-674E-BB3E-41AC85FA8F11}"/>
    <hyperlink ref="F105" r:id="rId383" display="/live_market/dynaContent/live_watch/get_quote/GetQuoteFO.jsp?underlying=BANKNIFTY&amp;instrument=OPTIDX&amp;strike=30400.00&amp;type=CE&amp;expiry=24DEC2020" xr:uid="{073215BA-4183-224E-ACCC-F403929088E6}"/>
    <hyperlink ref="L105" r:id="rId384" display="/live_market/dynaContent/live_watch/option_chain/optionDates.jsp?symbol=BANKNIFTY&amp;instrument=OPTIDX&amp;strike=30400.00" xr:uid="{45A8F945-3D7E-DC41-8282-062551835977}"/>
    <hyperlink ref="R105" r:id="rId385" display="/live_market/dynaContent/live_watch/get_quote/GetQuoteFO.jsp?underlying=BANKNIFTY&amp;instrument=OPTIDX&amp;strike=30400.00&amp;type=PE&amp;expiry=24DEC2020" xr:uid="{329B4DCD-C610-CA40-B39F-EA1C51ACF9EB}"/>
    <hyperlink ref="W105" r:id="rId386" display="javascript:chartPopup('BANKNIFTY', 'OPTIDX', '24DEC2020', '30400.00','PE','NIFTY PSE');" xr:uid="{3772F54D-01FD-044D-B32D-EC7C5F1FB2C3}"/>
    <hyperlink ref="A106" r:id="rId387" display="javascript:chartPopup('BANKNIFTY', 'OPTIDX', '24DEC2020', '30500.00','CE','NIFTY PSE');" xr:uid="{4CF6DB36-E7A9-FD4E-9C0B-1EB1DB59AAB2}"/>
    <hyperlink ref="F106" r:id="rId388" display="/live_market/dynaContent/live_watch/get_quote/GetQuoteFO.jsp?underlying=BANKNIFTY&amp;instrument=OPTIDX&amp;strike=30500.00&amp;type=CE&amp;expiry=24DEC2020" xr:uid="{051ED769-E6C4-164A-90A5-09CD833DD3FC}"/>
    <hyperlink ref="L106" r:id="rId389" display="/live_market/dynaContent/live_watch/option_chain/optionDates.jsp?symbol=BANKNIFTY&amp;instrument=OPTIDX&amp;strike=30500.00" xr:uid="{524DB9B7-59B9-4143-B337-CF52705F3580}"/>
    <hyperlink ref="R106" r:id="rId390" display="/live_market/dynaContent/live_watch/get_quote/GetQuoteFO.jsp?underlying=BANKNIFTY&amp;instrument=OPTIDX&amp;strike=30500.00&amp;type=PE&amp;expiry=24DEC2020" xr:uid="{A60F8FEF-1A3F-6843-BC30-79EC0961BA1F}"/>
    <hyperlink ref="W106" r:id="rId391" display="javascript:chartPopup('BANKNIFTY', 'OPTIDX', '24DEC2020', '30500.00','PE','NIFTY PSE');" xr:uid="{22902EB4-8504-C84B-8A87-9ABCAD18D4B7}"/>
    <hyperlink ref="A107" r:id="rId392" display="javascript:chartPopup('BANKNIFTY', 'OPTIDX', '24DEC2020', '30600.00','CE','NIFTY PSE');" xr:uid="{02E2F152-73F9-6940-9E0C-C3B92A8F6EFC}"/>
    <hyperlink ref="F107" r:id="rId393" display="/live_market/dynaContent/live_watch/get_quote/GetQuoteFO.jsp?underlying=BANKNIFTY&amp;instrument=OPTIDX&amp;strike=30600.00&amp;type=CE&amp;expiry=24DEC2020" xr:uid="{11ECE709-96F6-4045-AD3B-EA642545B841}"/>
    <hyperlink ref="L107" r:id="rId394" display="/live_market/dynaContent/live_watch/option_chain/optionDates.jsp?symbol=BANKNIFTY&amp;instrument=OPTIDX&amp;strike=30600.00" xr:uid="{333F1D96-2DDB-8142-8999-9A2FC2CB6DF1}"/>
    <hyperlink ref="R107" r:id="rId395" display="/live_market/dynaContent/live_watch/get_quote/GetQuoteFO.jsp?underlying=BANKNIFTY&amp;instrument=OPTIDX&amp;strike=30600.00&amp;type=PE&amp;expiry=24DEC2020" xr:uid="{F86DC7D3-AF6F-D249-839D-9B32D3B49D36}"/>
    <hyperlink ref="W107" r:id="rId396" display="javascript:chartPopup('BANKNIFTY', 'OPTIDX', '24DEC2020', '30600.00','PE','NIFTY PSE');" xr:uid="{01628119-0BA9-E147-8F22-18106CD21E1B}"/>
    <hyperlink ref="A108" r:id="rId397" display="javascript:chartPopup('BANKNIFTY', 'OPTIDX', '24DEC2020', '30700.00','CE','NIFTY PSE');" xr:uid="{2B11563E-4361-AD47-BB8E-D7CFBFCAFAD5}"/>
    <hyperlink ref="F108" r:id="rId398" display="/live_market/dynaContent/live_watch/get_quote/GetQuoteFO.jsp?underlying=BANKNIFTY&amp;instrument=OPTIDX&amp;strike=30700.00&amp;type=CE&amp;expiry=24DEC2020" xr:uid="{8B381F4E-73CF-A142-BA7E-ACABF13506FB}"/>
    <hyperlink ref="L108" r:id="rId399" display="/live_market/dynaContent/live_watch/option_chain/optionDates.jsp?symbol=BANKNIFTY&amp;instrument=OPTIDX&amp;strike=30700.00" xr:uid="{86B73427-B0D6-2949-9EF0-1EE48B638546}"/>
    <hyperlink ref="R108" r:id="rId400" display="/live_market/dynaContent/live_watch/get_quote/GetQuoteFO.jsp?underlying=BANKNIFTY&amp;instrument=OPTIDX&amp;strike=30700.00&amp;type=PE&amp;expiry=24DEC2020" xr:uid="{72C15965-5C14-6648-B79E-5AAE9AE792F5}"/>
    <hyperlink ref="W108" r:id="rId401" display="javascript:chartPopup('BANKNIFTY', 'OPTIDX', '24DEC2020', '30700.00','PE','NIFTY PSE');" xr:uid="{CC3C931D-D058-A64E-B1E4-F7053B692310}"/>
    <hyperlink ref="A109" r:id="rId402" display="javascript:chartPopup('BANKNIFTY', 'OPTIDX', '24DEC2020', '30800.00','CE','NIFTY PSE');" xr:uid="{CCAD4487-9A0C-0D47-B5F6-C51E5D944EBF}"/>
    <hyperlink ref="F109" r:id="rId403" display="/live_market/dynaContent/live_watch/get_quote/GetQuoteFO.jsp?underlying=BANKNIFTY&amp;instrument=OPTIDX&amp;strike=30800.00&amp;type=CE&amp;expiry=24DEC2020" xr:uid="{0011A70B-AE2D-D041-957E-41F74D18EA32}"/>
    <hyperlink ref="L109" r:id="rId404" display="/live_market/dynaContent/live_watch/option_chain/optionDates.jsp?symbol=BANKNIFTY&amp;instrument=OPTIDX&amp;strike=30800.00" xr:uid="{6685C6E7-068F-674E-B833-DEF728B4BB44}"/>
    <hyperlink ref="R109" r:id="rId405" display="/live_market/dynaContent/live_watch/get_quote/GetQuoteFO.jsp?underlying=BANKNIFTY&amp;instrument=OPTIDX&amp;strike=30800.00&amp;type=PE&amp;expiry=24DEC2020" xr:uid="{FFC0B1FE-724E-5F48-B14A-5667334E8615}"/>
    <hyperlink ref="W109" r:id="rId406" display="javascript:chartPopup('BANKNIFTY', 'OPTIDX', '24DEC2020', '30800.00','PE','NIFTY PSE');" xr:uid="{AAF5BC98-07D7-914C-BBB7-8C209ABD9866}"/>
    <hyperlink ref="A110" r:id="rId407" display="javascript:chartPopup('BANKNIFTY', 'OPTIDX', '24DEC2020', '30900.00','CE','NIFTY PSE');" xr:uid="{09EBC6C0-7707-7345-8FB7-08CACF54F29E}"/>
    <hyperlink ref="F110" r:id="rId408" display="/live_market/dynaContent/live_watch/get_quote/GetQuoteFO.jsp?underlying=BANKNIFTY&amp;instrument=OPTIDX&amp;strike=30900.00&amp;type=CE&amp;expiry=24DEC2020" xr:uid="{CC5ED012-9840-E34D-8184-798EE2C28F90}"/>
    <hyperlink ref="L110" r:id="rId409" display="/live_market/dynaContent/live_watch/option_chain/optionDates.jsp?symbol=BANKNIFTY&amp;instrument=OPTIDX&amp;strike=30900.00" xr:uid="{0A810C60-B561-AF4D-AA0B-535E4B07CCAD}"/>
    <hyperlink ref="R110" r:id="rId410" display="/live_market/dynaContent/live_watch/get_quote/GetQuoteFO.jsp?underlying=BANKNIFTY&amp;instrument=OPTIDX&amp;strike=30900.00&amp;type=PE&amp;expiry=24DEC2020" xr:uid="{32514784-A1BF-8E41-A7DD-0DEE7BE077B2}"/>
    <hyperlink ref="W110" r:id="rId411" display="javascript:chartPopup('BANKNIFTY', 'OPTIDX', '24DEC2020', '30900.00','PE','NIFTY PSE');" xr:uid="{4F2BBA6A-29C9-184B-9B05-BDA14569939C}"/>
    <hyperlink ref="A111" r:id="rId412" display="javascript:chartPopup('BANKNIFTY', 'OPTIDX', '24DEC2020', '31000.00','CE','NIFTY PSE');" xr:uid="{04CD9D64-6FEA-AF49-A0AC-6A2D91E27851}"/>
    <hyperlink ref="F111" r:id="rId413" display="/live_market/dynaContent/live_watch/get_quote/GetQuoteFO.jsp?underlying=BANKNIFTY&amp;instrument=OPTIDX&amp;strike=31000.00&amp;type=CE&amp;expiry=24DEC2020" xr:uid="{A5FDC891-63DA-DC47-86D9-0675D17BA3BE}"/>
    <hyperlink ref="L111" r:id="rId414" display="/live_market/dynaContent/live_watch/option_chain/optionDates.jsp?symbol=BANKNIFTY&amp;instrument=OPTIDX&amp;strike=31000.00" xr:uid="{D43FC0D8-825E-AB4D-AF02-88EFF022FE39}"/>
    <hyperlink ref="R111" r:id="rId415" display="/live_market/dynaContent/live_watch/get_quote/GetQuoteFO.jsp?underlying=BANKNIFTY&amp;instrument=OPTIDX&amp;strike=31000.00&amp;type=PE&amp;expiry=24DEC2020" xr:uid="{AEF275E6-B653-684D-B719-4817BDD253FD}"/>
    <hyperlink ref="W111" r:id="rId416" display="javascript:chartPopup('BANKNIFTY', 'OPTIDX', '24DEC2020', '31000.00','PE','NIFTY PSE');" xr:uid="{49BEE24C-9E65-C842-9756-997D8E268B1A}"/>
    <hyperlink ref="A112" r:id="rId417" display="javascript:chartPopup('BANKNIFTY', 'OPTIDX', '24DEC2020', '31100.00','CE','NIFTY PSE');" xr:uid="{CB490D29-373F-CD4D-BA44-E62AB9162957}"/>
    <hyperlink ref="F112" r:id="rId418" display="/live_market/dynaContent/live_watch/get_quote/GetQuoteFO.jsp?underlying=BANKNIFTY&amp;instrument=OPTIDX&amp;strike=31100.00&amp;type=CE&amp;expiry=24DEC2020" xr:uid="{42B18DB3-9041-0B46-9663-B92A3956F270}"/>
    <hyperlink ref="L112" r:id="rId419" display="/live_market/dynaContent/live_watch/option_chain/optionDates.jsp?symbol=BANKNIFTY&amp;instrument=OPTIDX&amp;strike=31100.00" xr:uid="{B88F04F3-C0F6-4A41-A652-DC29508F52AF}"/>
    <hyperlink ref="R112" r:id="rId420" display="/live_market/dynaContent/live_watch/get_quote/GetQuoteFO.jsp?underlying=BANKNIFTY&amp;instrument=OPTIDX&amp;strike=31100.00&amp;type=PE&amp;expiry=24DEC2020" xr:uid="{042AD3E8-DC95-A444-B316-D515DC19C172}"/>
    <hyperlink ref="W112" r:id="rId421" display="javascript:chartPopup('BANKNIFTY', 'OPTIDX', '24DEC2020', '31100.00','PE','NIFTY PSE');" xr:uid="{2D646CEE-D368-644B-A8D3-27C77E85AA77}"/>
    <hyperlink ref="A113" r:id="rId422" display="javascript:chartPopup('BANKNIFTY', 'OPTIDX', '24DEC2020', '31200.00','CE','NIFTY PSE');" xr:uid="{FBAA958A-B46F-114A-9FD2-C4961018DD2F}"/>
    <hyperlink ref="F113" r:id="rId423" display="/live_market/dynaContent/live_watch/get_quote/GetQuoteFO.jsp?underlying=BANKNIFTY&amp;instrument=OPTIDX&amp;strike=31200.00&amp;type=CE&amp;expiry=24DEC2020" xr:uid="{2A3A931C-9224-B14B-B3A5-4A0BC8E44F51}"/>
    <hyperlink ref="L113" r:id="rId424" display="/live_market/dynaContent/live_watch/option_chain/optionDates.jsp?symbol=BANKNIFTY&amp;instrument=OPTIDX&amp;strike=31200.00" xr:uid="{87D060FA-8B33-5F49-A81B-680DC1DDB79B}"/>
    <hyperlink ref="R113" r:id="rId425" display="/live_market/dynaContent/live_watch/get_quote/GetQuoteFO.jsp?underlying=BANKNIFTY&amp;instrument=OPTIDX&amp;strike=31200.00&amp;type=PE&amp;expiry=24DEC2020" xr:uid="{1C3F1BED-A4FB-B444-9BF5-3B63711D3C94}"/>
    <hyperlink ref="W113" r:id="rId426" display="javascript:chartPopup('BANKNIFTY', 'OPTIDX', '24DEC2020', '31200.00','PE','NIFTY PSE');" xr:uid="{0D094B18-087E-8B4B-80F9-3D7F740BE864}"/>
    <hyperlink ref="A114" r:id="rId427" display="javascript:chartPopup('BANKNIFTY', 'OPTIDX', '24DEC2020', '31300.00','CE','NIFTY PSE');" xr:uid="{B52CD411-6243-6545-9E5C-155E5181A61C}"/>
    <hyperlink ref="F114" r:id="rId428" display="/live_market/dynaContent/live_watch/get_quote/GetQuoteFO.jsp?underlying=BANKNIFTY&amp;instrument=OPTIDX&amp;strike=31300.00&amp;type=CE&amp;expiry=24DEC2020" xr:uid="{C308C8D6-C1F6-AD4E-8896-B08A81D1198C}"/>
    <hyperlink ref="L114" r:id="rId429" display="/live_market/dynaContent/live_watch/option_chain/optionDates.jsp?symbol=BANKNIFTY&amp;instrument=OPTIDX&amp;strike=31300.00" xr:uid="{F97BF4F0-487C-574C-8B8C-270EF1DFA2B3}"/>
    <hyperlink ref="R114" r:id="rId430" display="/live_market/dynaContent/live_watch/get_quote/GetQuoteFO.jsp?underlying=BANKNIFTY&amp;instrument=OPTIDX&amp;strike=31300.00&amp;type=PE&amp;expiry=24DEC2020" xr:uid="{E3F958BF-7E60-F742-AD59-ECBDB5834A7C}"/>
    <hyperlink ref="W114" r:id="rId431" display="javascript:chartPopup('BANKNIFTY', 'OPTIDX', '24DEC2020', '31300.00','PE','NIFTY PSE');" xr:uid="{481B5250-D313-7C4C-8FBF-A7D866E0EC6E}"/>
    <hyperlink ref="A115" r:id="rId432" display="javascript:chartPopup('BANKNIFTY', 'OPTIDX', '24DEC2020', '31400.00','CE','NIFTY PSE');" xr:uid="{82102149-9847-964E-87DF-D9735B1EF715}"/>
    <hyperlink ref="F115" r:id="rId433" display="/live_market/dynaContent/live_watch/get_quote/GetQuoteFO.jsp?underlying=BANKNIFTY&amp;instrument=OPTIDX&amp;strike=31400.00&amp;type=CE&amp;expiry=24DEC2020" xr:uid="{2EC63724-D670-134D-A857-9DD2F62028C1}"/>
    <hyperlink ref="L115" r:id="rId434" display="/live_market/dynaContent/live_watch/option_chain/optionDates.jsp?symbol=BANKNIFTY&amp;instrument=OPTIDX&amp;strike=31400.00" xr:uid="{B14E8265-1AC2-0C4B-BFF0-F041D473D5AF}"/>
    <hyperlink ref="R115" r:id="rId435" display="/live_market/dynaContent/live_watch/get_quote/GetQuoteFO.jsp?underlying=BANKNIFTY&amp;instrument=OPTIDX&amp;strike=31400.00&amp;type=PE&amp;expiry=24DEC2020" xr:uid="{8849148E-D4EA-0044-825C-AB1AD2D1715C}"/>
    <hyperlink ref="W115" r:id="rId436" display="javascript:chartPopup('BANKNIFTY', 'OPTIDX', '24DEC2020', '31400.00','PE','NIFTY PSE');" xr:uid="{BB178F7E-4E72-F445-A92B-D68C66AB7DE5}"/>
    <hyperlink ref="A116" r:id="rId437" display="javascript:chartPopup('BANKNIFTY', 'OPTIDX', '24DEC2020', '31500.00','CE','NIFTY PSE');" xr:uid="{287CBC89-1B8E-F64C-B2C3-469AEF9FBE68}"/>
    <hyperlink ref="F116" r:id="rId438" display="/live_market/dynaContent/live_watch/get_quote/GetQuoteFO.jsp?underlying=BANKNIFTY&amp;instrument=OPTIDX&amp;strike=31500.00&amp;type=CE&amp;expiry=24DEC2020" xr:uid="{299881A7-CE9B-0643-B66B-DA2C8DF16B87}"/>
    <hyperlink ref="L116" r:id="rId439" display="/live_market/dynaContent/live_watch/option_chain/optionDates.jsp?symbol=BANKNIFTY&amp;instrument=OPTIDX&amp;strike=31500.00" xr:uid="{41B25F5E-336A-144B-9B0E-9A34E071E5D2}"/>
    <hyperlink ref="R116" r:id="rId440" display="/live_market/dynaContent/live_watch/get_quote/GetQuoteFO.jsp?underlying=BANKNIFTY&amp;instrument=OPTIDX&amp;strike=31500.00&amp;type=PE&amp;expiry=24DEC2020" xr:uid="{8F4A12C9-CAAA-484D-9BB2-D8127AF21AB6}"/>
    <hyperlink ref="W116" r:id="rId441" display="javascript:chartPopup('BANKNIFTY', 'OPTIDX', '24DEC2020', '31500.00','PE','NIFTY PSE');" xr:uid="{3E8503B0-ECC2-564B-90B1-6CB5A6BA934C}"/>
    <hyperlink ref="A117" r:id="rId442" display="javascript:chartPopup('BANKNIFTY', 'OPTIDX', '24DEC2020', '31600.00','CE','NIFTY PSE');" xr:uid="{75AC3398-B322-D648-ADE7-C5AE43EDE34E}"/>
    <hyperlink ref="F117" r:id="rId443" display="/live_market/dynaContent/live_watch/get_quote/GetQuoteFO.jsp?underlying=BANKNIFTY&amp;instrument=OPTIDX&amp;strike=31600.00&amp;type=CE&amp;expiry=24DEC2020" xr:uid="{5930C36C-46CF-D24A-A7EA-112C2A2C6846}"/>
    <hyperlink ref="L117" r:id="rId444" display="/live_market/dynaContent/live_watch/option_chain/optionDates.jsp?symbol=BANKNIFTY&amp;instrument=OPTIDX&amp;strike=31600.00" xr:uid="{5CFD812F-48BD-7F48-B188-81E81399779C}"/>
    <hyperlink ref="R117" r:id="rId445" display="/live_market/dynaContent/live_watch/get_quote/GetQuoteFO.jsp?underlying=BANKNIFTY&amp;instrument=OPTIDX&amp;strike=31600.00&amp;type=PE&amp;expiry=24DEC2020" xr:uid="{7E1E7116-3BFE-1848-BA86-B032B808D9B7}"/>
    <hyperlink ref="W117" r:id="rId446" display="javascript:chartPopup('BANKNIFTY', 'OPTIDX', '24DEC2020', '31600.00','PE','NIFTY PSE');" xr:uid="{8584E86C-1B50-3643-941E-6D98CED54B7E}"/>
    <hyperlink ref="A118" r:id="rId447" display="javascript:chartPopup('BANKNIFTY', 'OPTIDX', '24DEC2020', '31700.00','CE','NIFTY PSE');" xr:uid="{6A99D8C1-90B2-C34D-A0C3-7482C819161A}"/>
    <hyperlink ref="F118" r:id="rId448" display="/live_market/dynaContent/live_watch/get_quote/GetQuoteFO.jsp?underlying=BANKNIFTY&amp;instrument=OPTIDX&amp;strike=31700.00&amp;type=CE&amp;expiry=24DEC2020" xr:uid="{22220DA5-C22A-624A-A42A-0226C70D5A23}"/>
    <hyperlink ref="L118" r:id="rId449" display="/live_market/dynaContent/live_watch/option_chain/optionDates.jsp?symbol=BANKNIFTY&amp;instrument=OPTIDX&amp;strike=31700.00" xr:uid="{D5840E8D-42BA-8249-AF28-A20103852508}"/>
    <hyperlink ref="R118" r:id="rId450" display="/live_market/dynaContent/live_watch/get_quote/GetQuoteFO.jsp?underlying=BANKNIFTY&amp;instrument=OPTIDX&amp;strike=31700.00&amp;type=PE&amp;expiry=24DEC2020" xr:uid="{09524027-F66B-5849-85DD-262CA6DC03B4}"/>
    <hyperlink ref="W118" r:id="rId451" display="javascript:chartPopup('BANKNIFTY', 'OPTIDX', '24DEC2020', '31700.00','PE','NIFTY PSE');" xr:uid="{45BF89B6-7E7B-304C-A32B-775093867BE5}"/>
    <hyperlink ref="A119" r:id="rId452" display="javascript:chartPopup('BANKNIFTY', 'OPTIDX', '24DEC2020', '31800.00','CE','NIFTY PSE');" xr:uid="{89EB835E-A829-3E49-A516-CA1EC4E5B984}"/>
    <hyperlink ref="F119" r:id="rId453" display="/live_market/dynaContent/live_watch/get_quote/GetQuoteFO.jsp?underlying=BANKNIFTY&amp;instrument=OPTIDX&amp;strike=31800.00&amp;type=CE&amp;expiry=24DEC2020" xr:uid="{FB1C7555-F380-2742-A72F-F1CD43693499}"/>
    <hyperlink ref="L119" r:id="rId454" display="/live_market/dynaContent/live_watch/option_chain/optionDates.jsp?symbol=BANKNIFTY&amp;instrument=OPTIDX&amp;strike=31800.00" xr:uid="{33DDEE24-2789-0846-9F1A-2C363860EB67}"/>
    <hyperlink ref="R119" r:id="rId455" display="/live_market/dynaContent/live_watch/get_quote/GetQuoteFO.jsp?underlying=BANKNIFTY&amp;instrument=OPTIDX&amp;strike=31800.00&amp;type=PE&amp;expiry=24DEC2020" xr:uid="{21C5F89D-D2D7-584E-9CBE-116D08172FBD}"/>
    <hyperlink ref="W119" r:id="rId456" display="javascript:chartPopup('BANKNIFTY', 'OPTIDX', '24DEC2020', '31800.00','PE','NIFTY PSE');" xr:uid="{D1DAD16B-971A-D34A-B083-F682FC435B7C}"/>
    <hyperlink ref="A120" r:id="rId457" display="javascript:chartPopup('BANKNIFTY', 'OPTIDX', '24DEC2020', '31900.00','CE','NIFTY PSE');" xr:uid="{2731C0D7-DA30-9D41-B7DB-41DEC306DEA5}"/>
    <hyperlink ref="F120" r:id="rId458" display="/live_market/dynaContent/live_watch/get_quote/GetQuoteFO.jsp?underlying=BANKNIFTY&amp;instrument=OPTIDX&amp;strike=31900.00&amp;type=CE&amp;expiry=24DEC2020" xr:uid="{AFC00509-ACB6-2D4E-9B4E-3A48199DE97E}"/>
    <hyperlink ref="L120" r:id="rId459" display="/live_market/dynaContent/live_watch/option_chain/optionDates.jsp?symbol=BANKNIFTY&amp;instrument=OPTIDX&amp;strike=31900.00" xr:uid="{12F59685-7B4C-1C47-8FA6-FBA791E71CF6}"/>
    <hyperlink ref="R120" r:id="rId460" display="/live_market/dynaContent/live_watch/get_quote/GetQuoteFO.jsp?underlying=BANKNIFTY&amp;instrument=OPTIDX&amp;strike=31900.00&amp;type=PE&amp;expiry=24DEC2020" xr:uid="{F197C9BE-670B-344E-A5C7-01895830780D}"/>
    <hyperlink ref="W120" r:id="rId461" display="javascript:chartPopup('BANKNIFTY', 'OPTIDX', '24DEC2020', '31900.00','PE','NIFTY PSE');" xr:uid="{38507FFA-7238-2F41-85A6-2531B8244B46}"/>
    <hyperlink ref="A121" r:id="rId462" display="javascript:chartPopup('BANKNIFTY', 'OPTIDX', '24DEC2020', '32000.00','CE','NIFTY PSE');" xr:uid="{209F8B62-EC6B-0249-A847-AB49607C78E4}"/>
    <hyperlink ref="F121" r:id="rId463" display="/live_market/dynaContent/live_watch/get_quote/GetQuoteFO.jsp?underlying=BANKNIFTY&amp;instrument=OPTIDX&amp;strike=32000.00&amp;type=CE&amp;expiry=24DEC2020" xr:uid="{095A1B08-D3FA-D940-B030-A1DB4EC7629C}"/>
    <hyperlink ref="L121" r:id="rId464" display="/live_market/dynaContent/live_watch/option_chain/optionDates.jsp?symbol=BANKNIFTY&amp;instrument=OPTIDX&amp;strike=32000.00" xr:uid="{BDF34F67-9525-0E49-ACAA-AF27366AEEB1}"/>
    <hyperlink ref="R121" r:id="rId465" display="/live_market/dynaContent/live_watch/get_quote/GetQuoteFO.jsp?underlying=BANKNIFTY&amp;instrument=OPTIDX&amp;strike=32000.00&amp;type=PE&amp;expiry=24DEC2020" xr:uid="{999AC1FB-43FB-F94D-AFC5-737BDA8BD8E2}"/>
    <hyperlink ref="W121" r:id="rId466" display="javascript:chartPopup('BANKNIFTY', 'OPTIDX', '24DEC2020', '32000.00','PE','NIFTY PSE');" xr:uid="{D09CBCC4-CF91-3240-A8EA-751DC98B73B2}"/>
    <hyperlink ref="A122" r:id="rId467" display="javascript:chartPopup('BANKNIFTY', 'OPTIDX', '24DEC2020', '32100.00','CE','NIFTY PSE');" xr:uid="{94453CBC-DF1D-454F-A9BD-FEE2EA35A214}"/>
    <hyperlink ref="F122" r:id="rId468" display="/live_market/dynaContent/live_watch/get_quote/GetQuoteFO.jsp?underlying=BANKNIFTY&amp;instrument=OPTIDX&amp;strike=32100.00&amp;type=CE&amp;expiry=24DEC2020" xr:uid="{5C2A5AD6-45BF-644E-9156-3F27B0E6341C}"/>
    <hyperlink ref="L122" r:id="rId469" display="/live_market/dynaContent/live_watch/option_chain/optionDates.jsp?symbol=BANKNIFTY&amp;instrument=OPTIDX&amp;strike=32100.00" xr:uid="{1E9C9EF2-6D68-484D-8D33-DAFF3C2CE81D}"/>
    <hyperlink ref="W122" r:id="rId470" display="javascript:chartPopup('BANKNIFTY', 'OPTIDX', '24DEC2020', '32100.00','PE','NIFTY PSE');" xr:uid="{F9BBC8C4-3135-0045-B600-3C67B468C161}"/>
    <hyperlink ref="A123" r:id="rId471" display="javascript:chartPopup('BANKNIFTY', 'OPTIDX', '24DEC2020', '32200.00','CE','NIFTY PSE');" xr:uid="{EF597009-49E0-4842-A6EF-239C091896A1}"/>
    <hyperlink ref="F123" r:id="rId472" display="/live_market/dynaContent/live_watch/get_quote/GetQuoteFO.jsp?underlying=BANKNIFTY&amp;instrument=OPTIDX&amp;strike=32200.00&amp;type=CE&amp;expiry=24DEC2020" xr:uid="{91D67B7B-4D58-D84D-BFA7-11C65473D4F1}"/>
    <hyperlink ref="L123" r:id="rId473" display="/live_market/dynaContent/live_watch/option_chain/optionDates.jsp?symbol=BANKNIFTY&amp;instrument=OPTIDX&amp;strike=32200.00" xr:uid="{439C1393-60AB-D541-A2EE-671352D5B1E6}"/>
    <hyperlink ref="W123" r:id="rId474" display="javascript:chartPopup('BANKNIFTY', 'OPTIDX', '24DEC2020', '32200.00','PE','NIFTY PSE');" xr:uid="{4E4A5616-7F6A-C742-9FF8-DC2554F72B5A}"/>
    <hyperlink ref="A124" r:id="rId475" display="javascript:chartPopup('BANKNIFTY', 'OPTIDX', '24DEC2020', '32300.00','CE','NIFTY PSE');" xr:uid="{26A43D91-C1C6-754B-9707-6408C38D3279}"/>
    <hyperlink ref="F124" r:id="rId476" display="/live_market/dynaContent/live_watch/get_quote/GetQuoteFO.jsp?underlying=BANKNIFTY&amp;instrument=OPTIDX&amp;strike=32300.00&amp;type=CE&amp;expiry=24DEC2020" xr:uid="{19F20AB3-C6A6-5844-BBA7-32FAD09D28F6}"/>
    <hyperlink ref="L124" r:id="rId477" display="/live_market/dynaContent/live_watch/option_chain/optionDates.jsp?symbol=BANKNIFTY&amp;instrument=OPTIDX&amp;strike=32300.00" xr:uid="{FDEE5D51-9A0C-704E-AA82-8DA2DCA1CD5C}"/>
    <hyperlink ref="W124" r:id="rId478" display="javascript:chartPopup('BANKNIFTY', 'OPTIDX', '24DEC2020', '32300.00','PE','NIFTY PSE');" xr:uid="{25E3419D-8BE3-9F45-B920-1054F1C7802E}"/>
    <hyperlink ref="A125" r:id="rId479" display="javascript:chartPopup('BANKNIFTY', 'OPTIDX', '24DEC2020', '32400.00','CE','NIFTY PSE');" xr:uid="{7D932B9A-06AA-4549-8844-2C8DBD11721A}"/>
    <hyperlink ref="F125" r:id="rId480" display="/live_market/dynaContent/live_watch/get_quote/GetQuoteFO.jsp?underlying=BANKNIFTY&amp;instrument=OPTIDX&amp;strike=32400.00&amp;type=CE&amp;expiry=24DEC2020" xr:uid="{2A2C7620-2DC0-3D41-8A0A-C72595DFE39D}"/>
    <hyperlink ref="L125" r:id="rId481" display="/live_market/dynaContent/live_watch/option_chain/optionDates.jsp?symbol=BANKNIFTY&amp;instrument=OPTIDX&amp;strike=32400.00" xr:uid="{644F2C06-33F1-D447-BDEA-E5690AB9E8FB}"/>
    <hyperlink ref="W125" r:id="rId482" display="javascript:chartPopup('BANKNIFTY', 'OPTIDX', '24DEC2020', '32400.00','PE','NIFTY PSE');" xr:uid="{0ACFEBE9-CBA3-D340-9585-909F5B31CB88}"/>
    <hyperlink ref="A126" r:id="rId483" display="javascript:chartPopup('BANKNIFTY', 'OPTIDX', '24DEC2020', '32500.00','CE','NIFTY PSE');" xr:uid="{4ED9D425-2A17-644B-B70B-2B62AA5EDFA8}"/>
    <hyperlink ref="F126" r:id="rId484" display="/live_market/dynaContent/live_watch/get_quote/GetQuoteFO.jsp?underlying=BANKNIFTY&amp;instrument=OPTIDX&amp;strike=32500.00&amp;type=CE&amp;expiry=24DEC2020" xr:uid="{9E884403-9A7B-ED47-953E-D0B4C4703B35}"/>
    <hyperlink ref="L126" r:id="rId485" display="/live_market/dynaContent/live_watch/option_chain/optionDates.jsp?symbol=BANKNIFTY&amp;instrument=OPTIDX&amp;strike=32500.00" xr:uid="{7C1AE7C0-B1A9-1048-85E1-4A14428EE8E4}"/>
    <hyperlink ref="R126" r:id="rId486" display="/live_market/dynaContent/live_watch/get_quote/GetQuoteFO.jsp?underlying=BANKNIFTY&amp;instrument=OPTIDX&amp;strike=32500.00&amp;type=PE&amp;expiry=24DEC2020" xr:uid="{363FEDC7-6AC3-644E-8E79-32544F20E544}"/>
    <hyperlink ref="W126" r:id="rId487" display="javascript:chartPopup('BANKNIFTY', 'OPTIDX', '24DEC2020', '32500.00','PE','NIFTY PSE');" xr:uid="{8C5CA530-CE23-9947-9A59-B64192AABF72}"/>
    <hyperlink ref="A127" r:id="rId488" display="javascript:chartPopup('BANKNIFTY', 'OPTIDX', '24DEC2020', '32600.00','CE','NIFTY PSE');" xr:uid="{33D969CC-A696-B84C-B9F8-4B46C08F19E2}"/>
    <hyperlink ref="F127" r:id="rId489" display="/live_market/dynaContent/live_watch/get_quote/GetQuoteFO.jsp?underlying=BANKNIFTY&amp;instrument=OPTIDX&amp;strike=32600.00&amp;type=CE&amp;expiry=24DEC2020" xr:uid="{98D44C99-9CC0-5D4C-83B6-2093DC76DFB8}"/>
    <hyperlink ref="L127" r:id="rId490" display="/live_market/dynaContent/live_watch/option_chain/optionDates.jsp?symbol=BANKNIFTY&amp;instrument=OPTIDX&amp;strike=32600.00" xr:uid="{E6FE49B7-58E9-8347-BECC-914DD4ACAAD1}"/>
    <hyperlink ref="W127" r:id="rId491" display="javascript:chartPopup('BANKNIFTY', 'OPTIDX', '24DEC2020', '32600.00','PE','NIFTY PSE');" xr:uid="{CD4CA784-A0F1-AE43-A8D3-64952288D209}"/>
    <hyperlink ref="A128" r:id="rId492" display="javascript:chartPopup('BANKNIFTY', 'OPTIDX', '24DEC2020', '32700.00','CE','NIFTY PSE');" xr:uid="{97C74CA3-4C91-4048-A1DF-4AF5D7E092ED}"/>
    <hyperlink ref="F128" r:id="rId493" display="/live_market/dynaContent/live_watch/get_quote/GetQuoteFO.jsp?underlying=BANKNIFTY&amp;instrument=OPTIDX&amp;strike=32700.00&amp;type=CE&amp;expiry=24DEC2020" xr:uid="{432CBD21-923A-E149-8AEF-AC2249E91BCB}"/>
    <hyperlink ref="L128" r:id="rId494" display="/live_market/dynaContent/live_watch/option_chain/optionDates.jsp?symbol=BANKNIFTY&amp;instrument=OPTIDX&amp;strike=32700.00" xr:uid="{37A3F2A5-E9C6-6043-A402-F90BFAB70143}"/>
    <hyperlink ref="W128" r:id="rId495" display="javascript:chartPopup('BANKNIFTY', 'OPTIDX', '24DEC2020', '32700.00','PE','NIFTY PSE');" xr:uid="{36ABAD51-2DFE-C44F-B883-A71A1E0269D2}"/>
    <hyperlink ref="A129" r:id="rId496" display="javascript:chartPopup('BANKNIFTY', 'OPTIDX', '24DEC2020', '32800.00','CE','NIFTY PSE');" xr:uid="{F482D725-5491-784D-BFB0-AC10580E49EF}"/>
    <hyperlink ref="F129" r:id="rId497" display="/live_market/dynaContent/live_watch/get_quote/GetQuoteFO.jsp?underlying=BANKNIFTY&amp;instrument=OPTIDX&amp;strike=32800.00&amp;type=CE&amp;expiry=24DEC2020" xr:uid="{77F54A48-7BFF-7C43-BA17-FC40358EDC90}"/>
    <hyperlink ref="L129" r:id="rId498" display="/live_market/dynaContent/live_watch/option_chain/optionDates.jsp?symbol=BANKNIFTY&amp;instrument=OPTIDX&amp;strike=32800.00" xr:uid="{5304CCF0-E3C1-3D40-861A-7BA54E124A2B}"/>
    <hyperlink ref="W129" r:id="rId499" display="javascript:chartPopup('BANKNIFTY', 'OPTIDX', '24DEC2020', '32800.00','PE','NIFTY PSE');" xr:uid="{A78410A1-8F06-1242-91AF-9AB78879E751}"/>
    <hyperlink ref="A130" r:id="rId500" display="javascript:chartPopup('BANKNIFTY', 'OPTIDX', '24DEC2020', '32900.00','CE','NIFTY PSE');" xr:uid="{9177406A-277F-4A4D-A838-FB7DDE0AF24F}"/>
    <hyperlink ref="F130" r:id="rId501" display="/live_market/dynaContent/live_watch/get_quote/GetQuoteFO.jsp?underlying=BANKNIFTY&amp;instrument=OPTIDX&amp;strike=32900.00&amp;type=CE&amp;expiry=24DEC2020" xr:uid="{4BEB1A21-5E56-0D41-9343-24C48E9F782E}"/>
    <hyperlink ref="L130" r:id="rId502" display="/live_market/dynaContent/live_watch/option_chain/optionDates.jsp?symbol=BANKNIFTY&amp;instrument=OPTIDX&amp;strike=32900.00" xr:uid="{78E4F653-9203-DA42-9E52-EA611659416F}"/>
    <hyperlink ref="W130" r:id="rId503" display="javascript:chartPopup('BANKNIFTY', 'OPTIDX', '24DEC2020', '32900.00','PE','NIFTY PSE');" xr:uid="{A562BBCB-2B1C-B340-8851-DE38D80930ED}"/>
    <hyperlink ref="A131" r:id="rId504" display="javascript:chartPopup('BANKNIFTY', 'OPTIDX', '24DEC2020', '33000.00','CE','NIFTY PSE');" xr:uid="{C00CA1E2-9F2B-4D43-8FB4-5FF57528EFB2}"/>
    <hyperlink ref="F131" r:id="rId505" display="/live_market/dynaContent/live_watch/get_quote/GetQuoteFO.jsp?underlying=BANKNIFTY&amp;instrument=OPTIDX&amp;strike=33000.00&amp;type=CE&amp;expiry=24DEC2020" xr:uid="{90C1F75C-02E0-8E4C-BE0D-2C69C6323E64}"/>
    <hyperlink ref="L131" r:id="rId506" display="/live_market/dynaContent/live_watch/option_chain/optionDates.jsp?symbol=BANKNIFTY&amp;instrument=OPTIDX&amp;strike=33000.00" xr:uid="{2ACA52EF-25AD-D84A-AD7E-E1E94EE78866}"/>
    <hyperlink ref="W131" r:id="rId507" display="javascript:chartPopup('BANKNIFTY', 'OPTIDX', '24DEC2020', '33000.00','PE','NIFTY PSE');" xr:uid="{C5A4D6E2-CD17-FC45-AC87-9B1A4E021A8B}"/>
    <hyperlink ref="A132" r:id="rId508" display="javascript:chartPopup('BANKNIFTY', 'OPTIDX', '24DEC2020', '33100.00','CE','NIFTY PSE');" xr:uid="{4C1C0B4B-8FA5-AF48-A4F1-9E4A1AC26DA1}"/>
    <hyperlink ref="F132" r:id="rId509" display="/live_market/dynaContent/live_watch/get_quote/GetQuoteFO.jsp?underlying=BANKNIFTY&amp;instrument=OPTIDX&amp;strike=33100.00&amp;type=CE&amp;expiry=24DEC2020" xr:uid="{FD225A50-05E5-714B-BFCC-CD55A78504EE}"/>
    <hyperlink ref="L132" r:id="rId510" display="/live_market/dynaContent/live_watch/option_chain/optionDates.jsp?symbol=BANKNIFTY&amp;instrument=OPTIDX&amp;strike=33100.00" xr:uid="{22E73EB1-DF83-BF45-B6E5-E413AE041734}"/>
    <hyperlink ref="W132" r:id="rId511" display="javascript:chartPopup('BANKNIFTY', 'OPTIDX', '24DEC2020', '33100.00','PE','NIFTY PSE');" xr:uid="{441B007C-3D81-4E4F-A59F-B5CCB2DD4AA5}"/>
    <hyperlink ref="A133" r:id="rId512" display="javascript:chartPopup('BANKNIFTY', 'OPTIDX', '24DEC2020', '33200.00','CE','NIFTY PSE');" xr:uid="{AA94425F-8312-9A45-B85E-68228404921B}"/>
    <hyperlink ref="F133" r:id="rId513" display="/live_market/dynaContent/live_watch/get_quote/GetQuoteFO.jsp?underlying=BANKNIFTY&amp;instrument=OPTIDX&amp;strike=33200.00&amp;type=CE&amp;expiry=24DEC2020" xr:uid="{9DF982AE-A816-EE47-A7C9-11233F10993E}"/>
    <hyperlink ref="L133" r:id="rId514" display="/live_market/dynaContent/live_watch/option_chain/optionDates.jsp?symbol=BANKNIFTY&amp;instrument=OPTIDX&amp;strike=33200.00" xr:uid="{426C751E-7C70-D94D-8029-89307D8EA895}"/>
    <hyperlink ref="W133" r:id="rId515" display="javascript:chartPopup('BANKNIFTY', 'OPTIDX', '24DEC2020', '33200.00','PE','NIFTY PSE');" xr:uid="{99E86942-B3DA-B243-8219-D6CE7ACF0049}"/>
    <hyperlink ref="A134" r:id="rId516" display="javascript:chartPopup('BANKNIFTY', 'OPTIDX', '24DEC2020', '33300.00','CE','NIFTY PSE');" xr:uid="{940361D5-64EE-4443-A5E8-454FB353E30C}"/>
    <hyperlink ref="F134" r:id="rId517" display="/live_market/dynaContent/live_watch/get_quote/GetQuoteFO.jsp?underlying=BANKNIFTY&amp;instrument=OPTIDX&amp;strike=33300.00&amp;type=CE&amp;expiry=24DEC2020" xr:uid="{779BC25E-7345-804C-B830-E093154BEBC9}"/>
    <hyperlink ref="L134" r:id="rId518" display="/live_market/dynaContent/live_watch/option_chain/optionDates.jsp?symbol=BANKNIFTY&amp;instrument=OPTIDX&amp;strike=33300.00" xr:uid="{03C3424D-413F-6A4E-A5A7-D0C4A6FA0ACB}"/>
    <hyperlink ref="W134" r:id="rId519" display="javascript:chartPopup('BANKNIFTY', 'OPTIDX', '24DEC2020', '33300.00','PE','NIFTY PSE');" xr:uid="{015786E3-85C5-3748-9D56-A5ED090A8861}"/>
    <hyperlink ref="A135" r:id="rId520" display="javascript:chartPopup('BANKNIFTY', 'OPTIDX', '24DEC2020', '33400.00','CE','NIFTY PSE');" xr:uid="{5BF31437-D33D-384E-BCD0-3F41F51CB52A}"/>
    <hyperlink ref="F135" r:id="rId521" display="/live_market/dynaContent/live_watch/get_quote/GetQuoteFO.jsp?underlying=BANKNIFTY&amp;instrument=OPTIDX&amp;strike=33400.00&amp;type=CE&amp;expiry=24DEC2020" xr:uid="{D5EF48A5-8AB6-8443-901F-62C007DF53FD}"/>
    <hyperlink ref="L135" r:id="rId522" display="/live_market/dynaContent/live_watch/option_chain/optionDates.jsp?symbol=BANKNIFTY&amp;instrument=OPTIDX&amp;strike=33400.00" xr:uid="{EC76E318-062A-7041-88D7-D02C9D5076B5}"/>
    <hyperlink ref="W135" r:id="rId523" display="javascript:chartPopup('BANKNIFTY', 'OPTIDX', '24DEC2020', '33400.00','PE','NIFTY PSE');" xr:uid="{4FE7F56C-A2EB-934A-AA9D-0D2F2375CEF3}"/>
    <hyperlink ref="A136" r:id="rId524" display="javascript:chartPopup('BANKNIFTY', 'OPTIDX', '24DEC2020', '33500.00','CE','NIFTY PSE');" xr:uid="{1F9A487C-3BF7-E14A-A319-3FBA7128FE61}"/>
    <hyperlink ref="F136" r:id="rId525" display="/live_market/dynaContent/live_watch/get_quote/GetQuoteFO.jsp?underlying=BANKNIFTY&amp;instrument=OPTIDX&amp;strike=33500.00&amp;type=CE&amp;expiry=24DEC2020" xr:uid="{70797758-8AC6-B147-8237-71DB44754015}"/>
    <hyperlink ref="L136" r:id="rId526" display="/live_market/dynaContent/live_watch/option_chain/optionDates.jsp?symbol=BANKNIFTY&amp;instrument=OPTIDX&amp;strike=33500.00" xr:uid="{1E727B48-EBA2-B640-9B76-B0B97D7F1A38}"/>
    <hyperlink ref="W136" r:id="rId527" display="javascript:chartPopup('BANKNIFTY', 'OPTIDX', '24DEC2020', '33500.00','PE','NIFTY PSE');" xr:uid="{6133037D-DFD6-0C45-BA0C-F874C3FD0BDD}"/>
    <hyperlink ref="A137" r:id="rId528" display="javascript:chartPopup('BANKNIFTY', 'OPTIDX', '24DEC2020', '33600.00','CE','NIFTY PSE');" xr:uid="{70DFA62A-1364-9947-AAEC-059367135F90}"/>
    <hyperlink ref="F137" r:id="rId529" display="/live_market/dynaContent/live_watch/get_quote/GetQuoteFO.jsp?underlying=BANKNIFTY&amp;instrument=OPTIDX&amp;strike=33600.00&amp;type=CE&amp;expiry=24DEC2020" xr:uid="{02EE8251-CF13-1846-B866-48F2C2B667A8}"/>
    <hyperlink ref="L137" r:id="rId530" display="/live_market/dynaContent/live_watch/option_chain/optionDates.jsp?symbol=BANKNIFTY&amp;instrument=OPTIDX&amp;strike=33600.00" xr:uid="{A782158F-747D-2847-A677-5251F95ADE03}"/>
    <hyperlink ref="W137" r:id="rId531" display="javascript:chartPopup('BANKNIFTY', 'OPTIDX', '24DEC2020', '33600.00','PE','NIFTY PSE');" xr:uid="{2F72EB63-E318-ED47-983C-4919F85BF25B}"/>
    <hyperlink ref="A138" r:id="rId532" display="javascript:chartPopup('BANKNIFTY', 'OPTIDX', '24DEC2020', '33700.00','CE','NIFTY PSE');" xr:uid="{7391D265-0911-D942-8857-D31F4669E9AE}"/>
    <hyperlink ref="F138" r:id="rId533" display="/live_market/dynaContent/live_watch/get_quote/GetQuoteFO.jsp?underlying=BANKNIFTY&amp;instrument=OPTIDX&amp;strike=33700.00&amp;type=CE&amp;expiry=24DEC2020" xr:uid="{40F3E17A-AA69-CD40-A0C8-2D2838934DA1}"/>
    <hyperlink ref="L138" r:id="rId534" display="/live_market/dynaContent/live_watch/option_chain/optionDates.jsp?symbol=BANKNIFTY&amp;instrument=OPTIDX&amp;strike=33700.00" xr:uid="{9289C392-7F86-3A49-9939-F3D2F34C2B53}"/>
    <hyperlink ref="W138" r:id="rId535" display="javascript:chartPopup('BANKNIFTY', 'OPTIDX', '24DEC2020', '33700.00','PE','NIFTY PSE');" xr:uid="{D82725AA-27D1-D547-BF3E-D8CFA21BDEDF}"/>
    <hyperlink ref="A139" r:id="rId536" display="javascript:chartPopup('BANKNIFTY', 'OPTIDX', '24DEC2020', '33800.00','CE','NIFTY PSE');" xr:uid="{254D9CA8-D031-0B4A-B1D0-EBEAE9477ABE}"/>
    <hyperlink ref="F139" r:id="rId537" display="/live_market/dynaContent/live_watch/get_quote/GetQuoteFO.jsp?underlying=BANKNIFTY&amp;instrument=OPTIDX&amp;strike=33800.00&amp;type=CE&amp;expiry=24DEC2020" xr:uid="{389959E6-5B46-B44D-A47E-65BD36A11EC3}"/>
    <hyperlink ref="L139" r:id="rId538" display="/live_market/dynaContent/live_watch/option_chain/optionDates.jsp?symbol=BANKNIFTY&amp;instrument=OPTIDX&amp;strike=33800.00" xr:uid="{5408FA50-EC94-BE41-AD79-2561344825F8}"/>
    <hyperlink ref="W139" r:id="rId539" display="javascript:chartPopup('BANKNIFTY', 'OPTIDX', '24DEC2020', '33800.00','PE','NIFTY PSE');" xr:uid="{E7E699F6-8FA3-FE45-8E6A-CC8379BEF67B}"/>
    <hyperlink ref="A142" location="top" display="top" xr:uid="{A6D04AA3-9967-464B-AD9E-2BEDFB31937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DD7FA-9FB8-CB40-B094-521443928332}">
  <dimension ref="A1"/>
  <sheetViews>
    <sheetView tabSelected="1" topLeftCell="D1" workbookViewId="0"/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86B3-5A72-5047-9DAB-D39393BDE326}">
  <dimension ref="A1:J37"/>
  <sheetViews>
    <sheetView workbookViewId="0">
      <selection activeCell="J8" sqref="J8"/>
    </sheetView>
  </sheetViews>
  <sheetFormatPr baseColWidth="10" defaultRowHeight="21" x14ac:dyDescent="0.25"/>
  <cols>
    <col min="1" max="1" width="16.6640625" style="37" bestFit="1" customWidth="1"/>
    <col min="2" max="2" width="24.6640625" style="38" bestFit="1" customWidth="1"/>
    <col min="3" max="3" width="23.1640625" style="38" customWidth="1"/>
    <col min="4" max="4" width="18.1640625" style="38" customWidth="1"/>
    <col min="5" max="6" width="10.83203125" style="24"/>
    <col min="7" max="7" width="22.33203125" style="37" customWidth="1"/>
    <col min="8" max="8" width="24.6640625" style="38" bestFit="1" customWidth="1"/>
    <col min="9" max="9" width="23.6640625" style="38" customWidth="1"/>
    <col min="10" max="10" width="18.83203125" style="38" customWidth="1"/>
    <col min="11" max="16384" width="10.83203125" style="24"/>
  </cols>
  <sheetData>
    <row r="1" spans="1:10" s="15" customFormat="1" ht="31" x14ac:dyDescent="0.35">
      <c r="A1" s="13"/>
      <c r="B1" s="14" t="s">
        <v>19</v>
      </c>
      <c r="C1" s="14"/>
      <c r="D1" s="14"/>
      <c r="G1" s="16"/>
      <c r="H1" s="17" t="s">
        <v>20</v>
      </c>
      <c r="I1" s="17"/>
      <c r="J1" s="17"/>
    </row>
    <row r="2" spans="1:10" s="15" customFormat="1" ht="31" x14ac:dyDescent="0.35">
      <c r="A2" s="13"/>
      <c r="B2" s="14" t="s">
        <v>29</v>
      </c>
      <c r="C2" s="14"/>
      <c r="D2" s="14"/>
      <c r="G2" s="16"/>
      <c r="H2" s="17" t="s">
        <v>30</v>
      </c>
      <c r="I2" s="17"/>
      <c r="J2" s="17"/>
    </row>
    <row r="3" spans="1:10" s="15" customFormat="1" ht="31" x14ac:dyDescent="0.35">
      <c r="A3" s="13"/>
      <c r="B3" s="18" t="s">
        <v>21</v>
      </c>
      <c r="C3" s="19">
        <f>SUM('NIFTY OC'!C73:C87)</f>
        <v>11832975</v>
      </c>
      <c r="D3" s="14"/>
      <c r="G3" s="16"/>
      <c r="H3" s="20" t="s">
        <v>22</v>
      </c>
      <c r="I3" s="21">
        <f>SUM('BN OC '!C98:C108)</f>
        <v>3413175</v>
      </c>
      <c r="J3" s="17"/>
    </row>
    <row r="4" spans="1:10" s="15" customFormat="1" ht="31" x14ac:dyDescent="0.35">
      <c r="A4" s="13"/>
      <c r="B4" s="18" t="s">
        <v>23</v>
      </c>
      <c r="C4" s="19">
        <f>SUM('NIFTY OC'!U73:U87)</f>
        <v>12993000</v>
      </c>
      <c r="D4" s="14"/>
      <c r="G4" s="16"/>
      <c r="H4" s="20" t="s">
        <v>24</v>
      </c>
      <c r="I4" s="21">
        <f>SUM('BN OC '!U98:U108)</f>
        <v>9157275</v>
      </c>
      <c r="J4" s="17"/>
    </row>
    <row r="5" spans="1:10" ht="34" x14ac:dyDescent="0.4">
      <c r="A5" s="22"/>
      <c r="B5" s="18" t="s">
        <v>25</v>
      </c>
      <c r="C5" s="19">
        <f>C4-C3</f>
        <v>1160025</v>
      </c>
      <c r="D5" s="23"/>
      <c r="G5" s="25"/>
      <c r="H5" s="26" t="s">
        <v>26</v>
      </c>
      <c r="I5" s="27">
        <f>I4-I3</f>
        <v>5744100</v>
      </c>
      <c r="J5" s="28"/>
    </row>
    <row r="6" spans="1:10" ht="34" x14ac:dyDescent="0.4">
      <c r="A6" s="22"/>
      <c r="B6" s="29"/>
      <c r="C6" s="30"/>
      <c r="D6" s="23"/>
      <c r="G6" s="25"/>
      <c r="H6" s="31"/>
      <c r="I6" s="32"/>
      <c r="J6" s="28"/>
    </row>
    <row r="7" spans="1:10" x14ac:dyDescent="0.25">
      <c r="A7" s="33" t="s">
        <v>27</v>
      </c>
      <c r="B7" s="34" t="s">
        <v>21</v>
      </c>
      <c r="C7" s="34" t="s">
        <v>23</v>
      </c>
      <c r="D7" s="34" t="s">
        <v>25</v>
      </c>
      <c r="G7" s="35" t="s">
        <v>28</v>
      </c>
      <c r="H7" s="36" t="s">
        <v>21</v>
      </c>
      <c r="I7" s="36" t="s">
        <v>23</v>
      </c>
      <c r="J7" s="36" t="s">
        <v>25</v>
      </c>
    </row>
    <row r="8" spans="1:10" x14ac:dyDescent="0.25">
      <c r="A8" s="33">
        <v>44189.498377777774</v>
      </c>
      <c r="B8" s="34">
        <v>12031425</v>
      </c>
      <c r="C8" s="34">
        <v>12161475</v>
      </c>
      <c r="D8" s="34">
        <v>130050</v>
      </c>
      <c r="G8" s="35">
        <v>44189.498378472221</v>
      </c>
      <c r="H8" s="36">
        <v>2904375</v>
      </c>
      <c r="I8" s="36">
        <v>7943150</v>
      </c>
      <c r="J8" s="36">
        <v>5038775</v>
      </c>
    </row>
    <row r="9" spans="1:10" x14ac:dyDescent="0.25">
      <c r="A9" s="33">
        <v>44189.497119328706</v>
      </c>
      <c r="B9" s="34">
        <v>11523675</v>
      </c>
      <c r="C9" s="34">
        <v>12228300</v>
      </c>
      <c r="D9" s="34">
        <v>704625</v>
      </c>
      <c r="G9" s="35">
        <v>44189.497120023145</v>
      </c>
      <c r="H9" s="36">
        <v>2773950</v>
      </c>
      <c r="I9" s="36">
        <v>7900450</v>
      </c>
      <c r="J9" s="36">
        <v>5126500</v>
      </c>
    </row>
    <row r="10" spans="1:10" x14ac:dyDescent="0.25">
      <c r="A10" s="33">
        <v>44189.483648726855</v>
      </c>
      <c r="B10" s="34">
        <v>11048100</v>
      </c>
      <c r="C10" s="34">
        <v>11081475</v>
      </c>
      <c r="D10" s="34">
        <v>33375</v>
      </c>
      <c r="G10" s="35">
        <v>44189.483649421294</v>
      </c>
      <c r="H10" s="36">
        <v>2592625</v>
      </c>
      <c r="I10" s="36">
        <v>7440875</v>
      </c>
      <c r="J10" s="36">
        <v>4848250</v>
      </c>
    </row>
    <row r="11" spans="1:10" x14ac:dyDescent="0.25">
      <c r="A11" s="33">
        <v>44189.477423263888</v>
      </c>
      <c r="B11" s="34">
        <v>10282650</v>
      </c>
      <c r="C11" s="34">
        <v>11688375</v>
      </c>
      <c r="D11" s="34">
        <v>1405725</v>
      </c>
      <c r="G11" s="35">
        <v>44189.477424074073</v>
      </c>
      <c r="H11" s="36">
        <v>2429675</v>
      </c>
      <c r="I11" s="36">
        <v>7250175</v>
      </c>
      <c r="J11" s="36">
        <v>4820500</v>
      </c>
    </row>
    <row r="12" spans="1:10" x14ac:dyDescent="0.25">
      <c r="A12" s="33">
        <v>44189.476652430552</v>
      </c>
      <c r="B12" s="34">
        <v>10082400</v>
      </c>
      <c r="C12" s="34">
        <v>11453175</v>
      </c>
      <c r="D12" s="34">
        <v>1370775</v>
      </c>
      <c r="G12" s="35">
        <v>44189.476653124999</v>
      </c>
      <c r="H12" s="36">
        <v>4872875</v>
      </c>
      <c r="I12" s="36">
        <v>1389725</v>
      </c>
      <c r="J12" s="36">
        <v>-3483150</v>
      </c>
    </row>
    <row r="13" spans="1:10" x14ac:dyDescent="0.25">
      <c r="A13" s="33">
        <v>44189.474706712965</v>
      </c>
      <c r="B13" s="34">
        <v>10083300</v>
      </c>
      <c r="C13" s="34">
        <v>11453175</v>
      </c>
      <c r="D13" s="34">
        <v>1369875</v>
      </c>
      <c r="G13" s="35">
        <v>44189.474707407404</v>
      </c>
      <c r="H13" s="36">
        <v>2568800</v>
      </c>
      <c r="I13" s="36">
        <v>7342525</v>
      </c>
      <c r="J13" s="36">
        <v>4773725</v>
      </c>
    </row>
    <row r="14" spans="1:10" x14ac:dyDescent="0.25">
      <c r="A14" s="33">
        <v>44189.473253472221</v>
      </c>
      <c r="B14" s="34">
        <v>9868200</v>
      </c>
      <c r="C14" s="34">
        <v>11882025</v>
      </c>
      <c r="D14" s="34">
        <v>2013825</v>
      </c>
      <c r="G14" s="35">
        <v>44189.473254166667</v>
      </c>
      <c r="H14" s="36">
        <v>2500350</v>
      </c>
      <c r="I14" s="36">
        <v>7503675</v>
      </c>
      <c r="J14" s="36">
        <v>5003325</v>
      </c>
    </row>
    <row r="15" spans="1:10" x14ac:dyDescent="0.25">
      <c r="A15" s="33">
        <v>44189.471799537037</v>
      </c>
      <c r="B15" s="34">
        <v>9613350</v>
      </c>
      <c r="C15" s="34">
        <v>12893550</v>
      </c>
      <c r="D15" s="34">
        <v>3280200</v>
      </c>
      <c r="G15" s="35">
        <v>44189.471800231484</v>
      </c>
      <c r="H15" s="36">
        <v>4865900</v>
      </c>
      <c r="I15" s="36">
        <v>1600250</v>
      </c>
      <c r="J15" s="36">
        <v>-3265650</v>
      </c>
    </row>
    <row r="16" spans="1:10" x14ac:dyDescent="0.25">
      <c r="A16" s="33">
        <v>44189.470616666666</v>
      </c>
      <c r="B16" s="34">
        <v>9613350</v>
      </c>
      <c r="C16" s="34">
        <v>12893550</v>
      </c>
      <c r="D16" s="34">
        <v>3280200</v>
      </c>
      <c r="G16" s="35">
        <v>44189.470617361112</v>
      </c>
      <c r="H16" s="36">
        <v>2412200</v>
      </c>
      <c r="I16" s="36">
        <v>7658175</v>
      </c>
      <c r="J16" s="36">
        <v>5245975</v>
      </c>
    </row>
    <row r="17" spans="1:10" x14ac:dyDescent="0.25">
      <c r="A17" s="33">
        <v>44189.468510300925</v>
      </c>
      <c r="B17" s="34">
        <v>9465450</v>
      </c>
      <c r="C17" s="34">
        <v>15266925</v>
      </c>
      <c r="D17" s="34">
        <v>5801475</v>
      </c>
      <c r="G17" s="35">
        <v>44189.468510995372</v>
      </c>
      <c r="H17" s="36">
        <v>2346725</v>
      </c>
      <c r="I17" s="36">
        <v>7640350</v>
      </c>
      <c r="J17" s="36">
        <v>5293625</v>
      </c>
    </row>
    <row r="18" spans="1:10" x14ac:dyDescent="0.25">
      <c r="A18" s="33">
        <v>44189.467429861113</v>
      </c>
      <c r="B18" s="34">
        <v>9431475</v>
      </c>
      <c r="C18" s="34">
        <v>15499800</v>
      </c>
      <c r="D18" s="34">
        <v>6068325</v>
      </c>
      <c r="G18" s="35">
        <v>44189.467430671299</v>
      </c>
      <c r="H18" s="36">
        <v>4759625</v>
      </c>
      <c r="I18" s="36">
        <v>1642275</v>
      </c>
      <c r="J18" s="36">
        <v>-3117350</v>
      </c>
    </row>
    <row r="19" spans="1:10" x14ac:dyDescent="0.25">
      <c r="A19" s="33">
        <v>44189.46640740741</v>
      </c>
      <c r="B19" s="34">
        <v>9172200</v>
      </c>
      <c r="C19" s="34">
        <v>15638250</v>
      </c>
      <c r="D19" s="34">
        <v>6466050</v>
      </c>
      <c r="G19" s="35">
        <v>44189.466408101849</v>
      </c>
      <c r="H19" s="36">
        <v>2320650</v>
      </c>
      <c r="I19" s="36">
        <v>7479575</v>
      </c>
      <c r="J19" s="36">
        <v>5158925</v>
      </c>
    </row>
    <row r="20" spans="1:10" x14ac:dyDescent="0.25">
      <c r="A20" s="33">
        <v>44189.46548402778</v>
      </c>
      <c r="B20" s="34">
        <v>9232200</v>
      </c>
      <c r="C20" s="34">
        <v>15590025</v>
      </c>
      <c r="D20" s="34">
        <v>6357825</v>
      </c>
      <c r="G20" s="35">
        <v>44189.465484722219</v>
      </c>
      <c r="H20" s="36">
        <v>2295900</v>
      </c>
      <c r="I20" s="36">
        <v>7513800</v>
      </c>
      <c r="J20" s="36">
        <v>5217900</v>
      </c>
    </row>
    <row r="21" spans="1:10" x14ac:dyDescent="0.25">
      <c r="A21" s="33">
        <v>44189.463462847219</v>
      </c>
      <c r="B21" s="34">
        <v>8922600</v>
      </c>
      <c r="C21" s="34">
        <v>15655350</v>
      </c>
      <c r="D21" s="34">
        <v>6732750</v>
      </c>
      <c r="G21" s="35">
        <v>44189.463463541666</v>
      </c>
      <c r="H21" s="36">
        <v>2295900</v>
      </c>
      <c r="I21" s="36">
        <v>7513800</v>
      </c>
      <c r="J21" s="36">
        <v>5217900</v>
      </c>
    </row>
    <row r="22" spans="1:10" x14ac:dyDescent="0.25">
      <c r="A22" s="33">
        <v>44189.461603356482</v>
      </c>
      <c r="B22" s="34">
        <v>8557425</v>
      </c>
      <c r="C22" s="34">
        <v>16229100</v>
      </c>
      <c r="D22" s="34">
        <v>7671675</v>
      </c>
      <c r="G22" s="35">
        <v>44189.461604050928</v>
      </c>
      <c r="H22" s="36">
        <v>2295900</v>
      </c>
      <c r="I22" s="36">
        <v>7513800</v>
      </c>
      <c r="J22" s="36">
        <v>5217900</v>
      </c>
    </row>
    <row r="23" spans="1:10" x14ac:dyDescent="0.25">
      <c r="A23" s="33">
        <v>44189.458263541666</v>
      </c>
      <c r="B23" s="34">
        <v>8368650</v>
      </c>
      <c r="C23" s="34">
        <v>16116900</v>
      </c>
      <c r="D23" s="34">
        <v>7748250</v>
      </c>
      <c r="G23" s="35">
        <v>44189.458264236113</v>
      </c>
      <c r="H23" s="36">
        <v>2215700</v>
      </c>
      <c r="I23" s="36">
        <v>7440450</v>
      </c>
      <c r="J23" s="36">
        <v>5224750</v>
      </c>
    </row>
    <row r="24" spans="1:10" x14ac:dyDescent="0.25">
      <c r="A24" s="33">
        <v>44189.456543171298</v>
      </c>
      <c r="B24" s="34">
        <v>8093850</v>
      </c>
      <c r="C24" s="34">
        <v>16080225</v>
      </c>
      <c r="D24" s="34">
        <v>7986375</v>
      </c>
      <c r="G24" s="35">
        <v>44189.456543865737</v>
      </c>
      <c r="H24" s="36">
        <v>2151650</v>
      </c>
      <c r="I24" s="36">
        <v>7374425</v>
      </c>
      <c r="J24" s="36">
        <v>5222775</v>
      </c>
    </row>
    <row r="25" spans="1:10" x14ac:dyDescent="0.25">
      <c r="A25" s="33">
        <v>44189.454925925929</v>
      </c>
      <c r="B25" s="34">
        <v>7753725</v>
      </c>
      <c r="C25" s="34">
        <v>16364475</v>
      </c>
      <c r="D25" s="34">
        <v>8610750</v>
      </c>
      <c r="G25" s="35">
        <v>44189.454926620368</v>
      </c>
      <c r="H25" s="36">
        <v>2036550</v>
      </c>
      <c r="I25" s="36">
        <v>7318825</v>
      </c>
      <c r="J25" s="36">
        <v>5282275</v>
      </c>
    </row>
    <row r="26" spans="1:10" x14ac:dyDescent="0.25">
      <c r="A26" s="33">
        <v>44189.451870370372</v>
      </c>
      <c r="B26" s="34">
        <v>7581750</v>
      </c>
      <c r="C26" s="34">
        <v>16937475</v>
      </c>
      <c r="D26" s="34">
        <v>9355725</v>
      </c>
      <c r="G26" s="35">
        <v>44189.451871180558</v>
      </c>
      <c r="H26" s="36">
        <v>1917175</v>
      </c>
      <c r="I26" s="36">
        <v>7253900</v>
      </c>
      <c r="J26" s="36">
        <v>5336725</v>
      </c>
    </row>
    <row r="27" spans="1:10" x14ac:dyDescent="0.25">
      <c r="A27" s="33">
        <v>44189.446823726852</v>
      </c>
      <c r="B27" s="34">
        <v>7396200</v>
      </c>
      <c r="C27" s="34">
        <v>17836275</v>
      </c>
      <c r="D27" s="34">
        <v>10440075</v>
      </c>
      <c r="G27" s="35">
        <v>44189.446824421299</v>
      </c>
      <c r="H27" s="36">
        <v>3970600</v>
      </c>
      <c r="I27" s="36">
        <v>1557975</v>
      </c>
      <c r="J27" s="36">
        <v>-2412625</v>
      </c>
    </row>
    <row r="28" spans="1:10" x14ac:dyDescent="0.25">
      <c r="A28" s="33">
        <v>44189.437490972225</v>
      </c>
      <c r="B28" s="34">
        <v>6330525</v>
      </c>
      <c r="C28" s="34">
        <v>17590200</v>
      </c>
      <c r="D28" s="34">
        <v>11259675</v>
      </c>
      <c r="G28" s="35">
        <v>44189.437491898148</v>
      </c>
      <c r="H28" s="36">
        <v>3371150</v>
      </c>
      <c r="I28" s="36">
        <v>1447200</v>
      </c>
      <c r="J28" s="36">
        <v>-1923950</v>
      </c>
    </row>
    <row r="29" spans="1:10" x14ac:dyDescent="0.25">
      <c r="A29" s="33">
        <v>44189.431696874999</v>
      </c>
      <c r="B29" s="34">
        <v>5810700</v>
      </c>
      <c r="C29" s="34">
        <v>16895400</v>
      </c>
      <c r="D29" s="34">
        <v>11084700</v>
      </c>
      <c r="G29" s="35">
        <v>44189.431697569446</v>
      </c>
      <c r="H29" s="36">
        <v>976275</v>
      </c>
      <c r="I29" s="36">
        <v>6660025</v>
      </c>
      <c r="J29" s="36">
        <v>5683750</v>
      </c>
    </row>
    <row r="30" spans="1:10" x14ac:dyDescent="0.25">
      <c r="A30" s="33">
        <v>44189.426864351852</v>
      </c>
      <c r="B30" s="34">
        <v>6297300</v>
      </c>
      <c r="C30" s="34">
        <v>15716775</v>
      </c>
      <c r="D30" s="34">
        <v>9419475</v>
      </c>
      <c r="G30" s="35">
        <v>44189.426865046298</v>
      </c>
      <c r="H30" s="36">
        <v>1785100</v>
      </c>
      <c r="I30" s="36">
        <v>6320100</v>
      </c>
      <c r="J30" s="36">
        <v>4535000</v>
      </c>
    </row>
    <row r="31" spans="1:10" x14ac:dyDescent="0.25">
      <c r="A31" s="33">
        <v>44189.423728819442</v>
      </c>
      <c r="B31" s="34">
        <v>6893025</v>
      </c>
      <c r="C31" s="34">
        <v>14810250</v>
      </c>
      <c r="D31" s="34">
        <v>7917225</v>
      </c>
      <c r="G31" s="35">
        <v>44189.423729513888</v>
      </c>
      <c r="H31" s="36">
        <v>1861700</v>
      </c>
      <c r="I31" s="36">
        <v>5922750</v>
      </c>
      <c r="J31" s="36">
        <v>4061050</v>
      </c>
    </row>
    <row r="32" spans="1:10" x14ac:dyDescent="0.25">
      <c r="A32" s="33">
        <v>44189.422239583335</v>
      </c>
      <c r="B32" s="34">
        <v>6886500</v>
      </c>
      <c r="C32" s="34">
        <v>14395725</v>
      </c>
      <c r="D32" s="34">
        <v>7509225</v>
      </c>
      <c r="G32" s="35">
        <v>44189.42224039352</v>
      </c>
      <c r="H32" s="36">
        <v>1861700</v>
      </c>
      <c r="I32" s="36">
        <v>5922750</v>
      </c>
      <c r="J32" s="36">
        <v>4061050</v>
      </c>
    </row>
    <row r="33" spans="1:10" x14ac:dyDescent="0.25">
      <c r="A33" s="33">
        <v>44189.419054976854</v>
      </c>
      <c r="B33" s="34">
        <v>6523650</v>
      </c>
      <c r="C33" s="34">
        <v>14050500</v>
      </c>
      <c r="D33" s="34">
        <v>7526850</v>
      </c>
      <c r="G33" s="35">
        <v>44189.419055671293</v>
      </c>
      <c r="H33" s="36">
        <v>2910600</v>
      </c>
      <c r="I33" s="36">
        <v>141550</v>
      </c>
      <c r="J33" s="36">
        <v>-2769050</v>
      </c>
    </row>
    <row r="34" spans="1:10" x14ac:dyDescent="0.25">
      <c r="A34" s="33">
        <v>44189.414814236108</v>
      </c>
      <c r="B34" s="34">
        <v>6024225</v>
      </c>
      <c r="C34" s="34">
        <v>13170525</v>
      </c>
      <c r="D34" s="34">
        <v>7146300</v>
      </c>
      <c r="G34" s="35">
        <v>44189.414815046293</v>
      </c>
      <c r="H34" s="36">
        <v>1935900</v>
      </c>
      <c r="I34" s="36">
        <v>5232400</v>
      </c>
      <c r="J34" s="36">
        <v>3296500</v>
      </c>
    </row>
    <row r="35" spans="1:10" x14ac:dyDescent="0.25">
      <c r="A35" s="33">
        <v>44189.40363645833</v>
      </c>
      <c r="B35" s="34">
        <v>5336475</v>
      </c>
      <c r="C35" s="34">
        <v>10839300</v>
      </c>
      <c r="D35" s="34">
        <v>5502825</v>
      </c>
      <c r="G35" s="35">
        <v>44189.403637152776</v>
      </c>
      <c r="H35" s="36">
        <v>2008575</v>
      </c>
      <c r="I35" s="36">
        <v>3866025</v>
      </c>
      <c r="J35" s="36">
        <v>1857450</v>
      </c>
    </row>
    <row r="36" spans="1:10" x14ac:dyDescent="0.25">
      <c r="A36" s="33">
        <v>44189.400254282409</v>
      </c>
      <c r="B36" s="34">
        <v>4360650</v>
      </c>
      <c r="C36" s="34">
        <v>9635475</v>
      </c>
      <c r="D36" s="34">
        <v>5274825</v>
      </c>
      <c r="G36" s="35">
        <v>44189.400254976848</v>
      </c>
      <c r="H36" s="36">
        <v>1137925</v>
      </c>
      <c r="I36" s="36">
        <v>2852625</v>
      </c>
      <c r="J36" s="36">
        <v>1714700</v>
      </c>
    </row>
    <row r="37" spans="1:10" x14ac:dyDescent="0.25">
      <c r="A37" s="33">
        <v>44189.396457407405</v>
      </c>
      <c r="B37" s="34">
        <v>3462075</v>
      </c>
      <c r="C37" s="34">
        <v>6970575</v>
      </c>
      <c r="D37" s="34">
        <v>3508500</v>
      </c>
      <c r="G37" s="35">
        <v>44189.39645821759</v>
      </c>
      <c r="H37" s="36">
        <v>628075</v>
      </c>
      <c r="I37" s="36">
        <v>1629550</v>
      </c>
      <c r="J37" s="36">
        <v>1001475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NIFTY OC</vt:lpstr>
      <vt:lpstr>BN OC </vt:lpstr>
      <vt:lpstr>GRAPH </vt:lpstr>
      <vt:lpstr>DATA </vt:lpstr>
      <vt:lpstr>'BN OC '!bnhh</vt:lpstr>
      <vt:lpstr>'NIFTY OC'!nif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PRINCE SINGH</dc:creator>
  <cp:lastModifiedBy>PRINCE SINGH</cp:lastModifiedBy>
  <dcterms:created xsi:type="dcterms:W3CDTF">2020-12-17T02:37:13Z</dcterms:created>
  <dcterms:modified xsi:type="dcterms:W3CDTF">2020-12-25T02:47:12Z</dcterms:modified>
</cp:coreProperties>
</file>